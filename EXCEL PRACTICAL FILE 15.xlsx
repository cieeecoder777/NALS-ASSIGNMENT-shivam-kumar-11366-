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24ce2c12d9616f/Desktop/"/>
    </mc:Choice>
  </mc:AlternateContent>
  <xr:revisionPtr revIDLastSave="304" documentId="8_{B08D2780-7624-440C-969E-12F50B89E964}" xr6:coauthVersionLast="47" xr6:coauthVersionMax="47" xr10:uidLastSave="{ED5B5E04-4620-4EB8-A4D7-BED642AAB369}"/>
  <bookViews>
    <workbookView xWindow="-108" yWindow="-108" windowWidth="23256" windowHeight="12576" xr2:uid="{31F9B15C-B3E0-4EC7-B1FE-A0D8BEA6E558}"/>
  </bookViews>
  <sheets>
    <sheet name="EXPENSES" sheetId="1" r:id="rId1"/>
    <sheet name="BUDGET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B10" i="1"/>
  <c r="B4" i="1"/>
  <c r="B7" i="1"/>
  <c r="B13" i="1"/>
  <c r="B16" i="1"/>
  <c r="B19" i="1"/>
  <c r="B5" i="1"/>
  <c r="B6" i="1"/>
  <c r="B8" i="1"/>
  <c r="B9" i="1"/>
  <c r="B11" i="1"/>
  <c r="B12" i="1"/>
  <c r="B14" i="1"/>
  <c r="B15" i="1"/>
  <c r="B17" i="1"/>
  <c r="B18" i="1"/>
  <c r="B20" i="1"/>
  <c r="B21" i="1"/>
  <c r="B3" i="1"/>
  <c r="B2" i="1"/>
  <c r="C4" i="2"/>
  <c r="D4" i="2" s="1"/>
  <c r="C5" i="2"/>
  <c r="D5" i="2" s="1"/>
  <c r="C3" i="2"/>
  <c r="D3" i="2" s="1"/>
  <c r="C2" i="2"/>
  <c r="D2" i="2" s="1"/>
  <c r="C6" i="2"/>
  <c r="D6" i="2" s="1"/>
  <c r="K6" i="1"/>
  <c r="K5" i="1"/>
  <c r="K4" i="1"/>
  <c r="K3" i="1"/>
  <c r="K2" i="1"/>
</calcChain>
</file>

<file path=xl/sharedStrings.xml><?xml version="1.0" encoding="utf-8"?>
<sst xmlns="http://schemas.openxmlformats.org/spreadsheetml/2006/main" count="84" uniqueCount="39">
  <si>
    <t>DATE</t>
  </si>
  <si>
    <t>CATEGORY</t>
  </si>
  <si>
    <t>EXPENSE DETAIL</t>
  </si>
  <si>
    <t>AMOUNT(₹)</t>
  </si>
  <si>
    <t>PAYMENT METHOD</t>
  </si>
  <si>
    <t>FOOD</t>
  </si>
  <si>
    <t>TRAVEL</t>
  </si>
  <si>
    <t>FEES</t>
  </si>
  <si>
    <t>SHOPPING</t>
  </si>
  <si>
    <t>OTHER</t>
  </si>
  <si>
    <t>TOTAL AMOUNT</t>
  </si>
  <si>
    <t>LUNCH</t>
  </si>
  <si>
    <t>BUSS PASS</t>
  </si>
  <si>
    <t>EXAM FEES</t>
  </si>
  <si>
    <t>SHOES</t>
  </si>
  <si>
    <t>MOBILE RECHARGE</t>
  </si>
  <si>
    <t>TUITION FEES</t>
  </si>
  <si>
    <t>SWEETS</t>
  </si>
  <si>
    <t>FLIGHT TICKET</t>
  </si>
  <si>
    <t>TRAINING FEES</t>
  </si>
  <si>
    <t>CLOTHES</t>
  </si>
  <si>
    <t>ELECRICITY BILL</t>
  </si>
  <si>
    <t>HOSTEL FEES</t>
  </si>
  <si>
    <t>TRAIN TICKET</t>
  </si>
  <si>
    <t>UNIFORM FEES</t>
  </si>
  <si>
    <t xml:space="preserve">SHOCKS </t>
  </si>
  <si>
    <t>TV RECHARGE</t>
  </si>
  <si>
    <t>MESS FEES</t>
  </si>
  <si>
    <t>BEVERAGE</t>
  </si>
  <si>
    <t>SHIP TICKET</t>
  </si>
  <si>
    <t>UPI</t>
  </si>
  <si>
    <t>CARD</t>
  </si>
  <si>
    <t>CASH</t>
  </si>
  <si>
    <t>BUDGET</t>
  </si>
  <si>
    <t>ACTUAL</t>
  </si>
  <si>
    <t>DIFFERENCE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</si>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</sst>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WISE-EXPENSES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BUDGET!$B$1</c:f>
              <c:strCache>
                <c:ptCount val="1"/>
                <c:pt idx="0">
                  <c:v>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232-431D-A009-1993391DFB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232-431D-A009-1993391DFB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232-431D-A009-1993391DFB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232-431D-A009-1993391DFB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232-431D-A009-1993391DFBB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BUDGET!$B$2:$B$6</c:f>
              <c:numCache>
                <c:formatCode>General</c:formatCode>
                <c:ptCount val="5"/>
                <c:pt idx="0">
                  <c:v>3500</c:v>
                </c:pt>
                <c:pt idx="1">
                  <c:v>2500</c:v>
                </c:pt>
                <c:pt idx="2" formatCode="0">
                  <c:v>5000</c:v>
                </c:pt>
                <c:pt idx="3">
                  <c:v>4500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32-431D-A009-1993391DFBBF}"/>
            </c:ext>
          </c:extLst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0232-431D-A009-1993391DFB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0232-431D-A009-1993391DFB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0232-431D-A009-1993391DFB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0232-431D-A009-1993391DFB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0232-431D-A009-1993391DFBB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4550.0000000000073</c:v>
                </c:pt>
                <c:pt idx="1">
                  <c:v>4580.0000000000073</c:v>
                </c:pt>
                <c:pt idx="2" formatCode="0">
                  <c:v>7613.3333333333367</c:v>
                </c:pt>
                <c:pt idx="3">
                  <c:v>3870.000000000005</c:v>
                </c:pt>
                <c:pt idx="4">
                  <c:v>5020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232-431D-A009-1993391DFBBF}"/>
            </c:ext>
          </c:extLst>
        </c:ser>
        <c:ser>
          <c:idx val="2"/>
          <c:order val="2"/>
          <c:tx>
            <c:strRef>
              <c:f>BUDGET!$D$1</c:f>
              <c:strCache>
                <c:ptCount val="1"/>
                <c:pt idx="0">
                  <c:v>DIFFERENCE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0232-431D-A009-1993391DFB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0232-431D-A009-1993391DFB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0232-431D-A009-1993391DFB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0232-431D-A009-1993391DFB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0232-431D-A009-1993391DFBB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BUDGET!$D$2:$D$6</c:f>
              <c:numCache>
                <c:formatCode>General</c:formatCode>
                <c:ptCount val="5"/>
                <c:pt idx="0">
                  <c:v>-1050.0000000000073</c:v>
                </c:pt>
                <c:pt idx="1">
                  <c:v>-2080.0000000000073</c:v>
                </c:pt>
                <c:pt idx="2" formatCode="0">
                  <c:v>-2613.3333333333367</c:v>
                </c:pt>
                <c:pt idx="3">
                  <c:v>629.999999999995</c:v>
                </c:pt>
                <c:pt idx="4">
                  <c:v>-3020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232-431D-A009-1993391DFBB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</a:t>
            </a:r>
            <a:r>
              <a:rPr lang="en-IN" baseline="0"/>
              <a:t> Vs EXPENSES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BUDGET!$B$1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BUDGET!$B$2:$B$6</c:f>
              <c:numCache>
                <c:formatCode>General</c:formatCode>
                <c:ptCount val="5"/>
                <c:pt idx="0">
                  <c:v>3500</c:v>
                </c:pt>
                <c:pt idx="1">
                  <c:v>2500</c:v>
                </c:pt>
                <c:pt idx="2" formatCode="0">
                  <c:v>5000</c:v>
                </c:pt>
                <c:pt idx="3">
                  <c:v>4500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6-4B94-AB32-C7C80D928979}"/>
            </c:ext>
          </c:extLst>
        </c:ser>
        <c:ser>
          <c:idx val="1"/>
          <c:order val="1"/>
          <c:tx>
            <c:strRef>
              <c:f>BUDGET!$C$1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4550.0000000000073</c:v>
                </c:pt>
                <c:pt idx="1">
                  <c:v>4580.0000000000073</c:v>
                </c:pt>
                <c:pt idx="2" formatCode="0">
                  <c:v>7613.3333333333367</c:v>
                </c:pt>
                <c:pt idx="3">
                  <c:v>3870.000000000005</c:v>
                </c:pt>
                <c:pt idx="4">
                  <c:v>5020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6-4B94-AB32-C7C80D928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3332159"/>
        <c:axId val="1433335519"/>
        <c:axId val="0"/>
      </c:bar3DChart>
      <c:catAx>
        <c:axId val="143333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35519"/>
        <c:crosses val="autoZero"/>
        <c:auto val="1"/>
        <c:lblAlgn val="ctr"/>
        <c:lblOffset val="100"/>
        <c:noMultiLvlLbl val="0"/>
      </c:catAx>
      <c:valAx>
        <c:axId val="14333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33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7</xdr:col>
      <xdr:colOff>304800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0A839-2E0B-4C42-9B78-1FADDA736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563880</xdr:colOff>
      <xdr:row>0</xdr:row>
      <xdr:rowOff>0</xdr:rowOff>
    </xdr:from>
    <xdr:to>
      <xdr:col>15</xdr:col>
      <xdr:colOff>259080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9222FB-BFEB-4865-B537-031505FB9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64415-6681-4191-910F-DF2F04924BE2}" name="Table1" displayName="Table1" ref="A1:H21" totalsRowShown="0" headerRowDxfId="17" dataDxfId="18">
  <autoFilter ref="A1:H21" xr:uid="{E7864415-6681-4191-910F-DF2F04924BE2}"/>
  <tableColumns count="8">
    <tableColumn id="1" xr3:uid="{B304E390-C96D-4CF4-8021-60CCF8486264}" name="DATE" dataDxfId="26"/>
    <tableColumn id="2" xr3:uid="{118E576A-0D43-4D2A-921F-9CBC9403A75F}" name="DAY" dataDxfId="25">
      <calculatedColumnFormula>DAY(A2)</calculatedColumnFormula>
    </tableColumn>
    <tableColumn id="3" xr3:uid="{DD033811-75F6-45E3-AA81-145A880920B9}" name="MONTH" dataDxfId="24">
      <calculatedColumnFormula>MONTH(A2)</calculatedColumnFormula>
    </tableColumn>
    <tableColumn id="4" xr3:uid="{B8E8A1F6-EF65-451C-A0AB-8B9A09F501DD}" name="YEAR" dataDxfId="23">
      <calculatedColumnFormula>YEAR(A2)</calculatedColumnFormula>
    </tableColumn>
    <tableColumn id="5" xr3:uid="{E17D80F2-07B6-4A10-A97C-0C3D20C78708}" name="CATEGORY" dataDxfId="22"/>
    <tableColumn id="6" xr3:uid="{92622649-A64C-436F-80C6-EA2C7D42DBFD}" name="EXPENSE DETAIL" dataDxfId="21"/>
    <tableColumn id="7" xr3:uid="{5042B733-9285-4466-9FD9-9B6144F27FF9}" name="AMOUNT(₹)" dataDxfId="20"/>
    <tableColumn id="8" xr3:uid="{0B32154A-52D9-4DE0-9FE3-0DA7E5898F7D}" name="PAYMENT METHOD" dataDxfId="1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6FDA0C-7E71-4CAF-8368-93D1E08E5F89}" name="Table2" displayName="Table2" ref="J1:K6" totalsRowShown="0">
  <autoFilter ref="J1:K6" xr:uid="{AB6FDA0C-7E71-4CAF-8368-93D1E08E5F89}"/>
  <tableColumns count="2">
    <tableColumn id="1" xr3:uid="{8E798459-98E5-4CFB-ACCD-68E8D8EC9D55}" name="CATEGORY"/>
    <tableColumn id="2" xr3:uid="{B6D913C4-7B0F-4328-A36A-286025ECE042}" name="TOTAL AMOUNT">
      <calculatedColumnFormula>SUMIF(E:E,J2,G:G)</calculatedColumnFormula>
    </tableColumn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B50A1-7D1F-45AD-97D8-1389271565D9}" name="Table3" displayName="Table3" ref="A1:D6" totalsRowShown="0">
  <autoFilter ref="A1:D6" xr:uid="{6A0B50A1-7D1F-45AD-97D8-1389271565D9}"/>
  <tableColumns count="4">
    <tableColumn id="1" xr3:uid="{CC37A5E0-C71F-41FE-94F0-BD650DB9E6D8}" name="CATEGORY" dataDxfId="16"/>
    <tableColumn id="2" xr3:uid="{BAE581DE-9BD0-4605-874B-181D5CB1B9D8}" name="BUDGET" dataDxfId="15"/>
    <tableColumn id="3" xr3:uid="{BFFEE8D7-2784-430C-8E48-86B73E4AE1F1}" name="ACTUAL">
      <calculatedColumnFormula>SUMIF(EXPENSES!E:E,A2,EXPENSES!G:G)</calculatedColumnFormula>
    </tableColumn>
    <tableColumn id="4" xr3:uid="{73EC6489-99B2-4BF4-9677-A8004BDDF4FC}" name="DIFFERENCE">
      <calculatedColumnFormula>B2-C2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D16C-CEA0-4C82-AA7A-D7A316FCC9B7}">
  <dimension ref="A1:K22"/>
  <sheetViews>
    <sheetView tabSelected="1" workbookViewId="0">
      <selection activeCell="I12" sqref="I12"/>
    </sheetView>
  </sheetViews>
  <sheetFormatPr defaultRowHeight="14.4" x14ac:dyDescent="0.3"/>
  <cols>
    <col min="1" max="1" width="12.88671875" customWidth="1"/>
    <col min="2" max="2" width="14.77734375" customWidth="1"/>
    <col min="3" max="3" width="11" customWidth="1"/>
    <col min="4" max="4" width="10.21875" customWidth="1"/>
    <col min="5" max="5" width="15.21875" customWidth="1"/>
    <col min="6" max="6" width="20.109375" customWidth="1"/>
    <col min="7" max="7" width="14.44140625" customWidth="1"/>
    <col min="8" max="8" width="22" customWidth="1"/>
    <col min="10" max="10" width="13.88671875" customWidth="1"/>
    <col min="11" max="11" width="17.109375" customWidth="1"/>
  </cols>
  <sheetData>
    <row r="1" spans="1:1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1</v>
      </c>
      <c r="F1" s="1" t="s">
        <v>2</v>
      </c>
      <c r="G1" s="1" t="s">
        <v>3</v>
      </c>
      <c r="H1" s="1" t="s">
        <v>4</v>
      </c>
      <c r="J1" t="s">
        <v>1</v>
      </c>
      <c r="K1" t="s">
        <v>10</v>
      </c>
    </row>
    <row r="2" spans="1:11" x14ac:dyDescent="0.3">
      <c r="A2" s="2">
        <v>45658</v>
      </c>
      <c r="B2" s="4">
        <f>DAY(A2)</f>
        <v>1</v>
      </c>
      <c r="C2" s="4">
        <f>MONTH(A2)</f>
        <v>1</v>
      </c>
      <c r="D2" s="4">
        <f>YEAR(A2)</f>
        <v>2025</v>
      </c>
      <c r="E2" s="1" t="s">
        <v>5</v>
      </c>
      <c r="F2" s="1" t="s">
        <v>11</v>
      </c>
      <c r="G2" s="4">
        <v>230</v>
      </c>
      <c r="H2" s="1" t="s">
        <v>30</v>
      </c>
      <c r="J2" t="s">
        <v>5</v>
      </c>
      <c r="K2">
        <f>SUMIF(E:E,J2,G:G)</f>
        <v>4550.0000000000073</v>
      </c>
    </row>
    <row r="3" spans="1:11" x14ac:dyDescent="0.3">
      <c r="A3" s="2">
        <v>45659</v>
      </c>
      <c r="B3" s="4">
        <f>DAY(A3)</f>
        <v>2</v>
      </c>
      <c r="C3" s="4">
        <f>MONTH(A3)</f>
        <v>1</v>
      </c>
      <c r="D3" s="4">
        <f>YEAR(A3)</f>
        <v>2025</v>
      </c>
      <c r="E3" s="1" t="s">
        <v>6</v>
      </c>
      <c r="F3" s="1" t="s">
        <v>12</v>
      </c>
      <c r="G3" s="4">
        <v>1110</v>
      </c>
      <c r="H3" s="1" t="s">
        <v>31</v>
      </c>
      <c r="J3" t="s">
        <v>6</v>
      </c>
      <c r="K3">
        <f>SUMIF(E:E,J3,G:G)</f>
        <v>4580.0000000000073</v>
      </c>
    </row>
    <row r="4" spans="1:11" x14ac:dyDescent="0.3">
      <c r="A4" s="2">
        <v>45691</v>
      </c>
      <c r="B4" s="4">
        <f>DAY(A4)</f>
        <v>3</v>
      </c>
      <c r="C4" s="4">
        <f>MONTH(A4)</f>
        <v>2</v>
      </c>
      <c r="D4" s="4">
        <f>YEAR(A4)</f>
        <v>2025</v>
      </c>
      <c r="E4" s="1" t="s">
        <v>7</v>
      </c>
      <c r="F4" s="1" t="s">
        <v>13</v>
      </c>
      <c r="G4" s="4">
        <v>330</v>
      </c>
      <c r="H4" s="1" t="s">
        <v>32</v>
      </c>
      <c r="J4" s="3" t="s">
        <v>7</v>
      </c>
      <c r="K4" s="3">
        <f>SUMIF(E:E,J4,G:G)</f>
        <v>7613.3333333333367</v>
      </c>
    </row>
    <row r="5" spans="1:11" x14ac:dyDescent="0.3">
      <c r="A5" s="2">
        <v>45720</v>
      </c>
      <c r="B5" s="4">
        <f>DAY(A5)</f>
        <v>4</v>
      </c>
      <c r="C5" s="4">
        <f>MONTH(A5)</f>
        <v>3</v>
      </c>
      <c r="D5" s="4">
        <f>YEAR(A5)</f>
        <v>2025</v>
      </c>
      <c r="E5" s="1" t="s">
        <v>8</v>
      </c>
      <c r="F5" s="1" t="s">
        <v>14</v>
      </c>
      <c r="G5" s="4">
        <v>656.66666666666697</v>
      </c>
      <c r="H5" s="1" t="s">
        <v>31</v>
      </c>
      <c r="J5" t="s">
        <v>8</v>
      </c>
      <c r="K5">
        <f>SUMIF(E:E,J5,G:G)</f>
        <v>3870.000000000005</v>
      </c>
    </row>
    <row r="6" spans="1:11" x14ac:dyDescent="0.3">
      <c r="A6" s="2">
        <v>45658</v>
      </c>
      <c r="B6" s="4">
        <f>DAY(A6)</f>
        <v>1</v>
      </c>
      <c r="C6" s="4">
        <f>MONTH(A6)</f>
        <v>1</v>
      </c>
      <c r="D6" s="4">
        <f>YEAR(A6)</f>
        <v>2025</v>
      </c>
      <c r="E6" s="1" t="s">
        <v>9</v>
      </c>
      <c r="F6" s="1" t="s">
        <v>15</v>
      </c>
      <c r="G6" s="4">
        <v>2706.6666666666601</v>
      </c>
      <c r="H6" s="1" t="s">
        <v>31</v>
      </c>
      <c r="J6" t="s">
        <v>9</v>
      </c>
      <c r="K6">
        <f>SUMIF(E:E,J6,G:G)</f>
        <v>5020</v>
      </c>
    </row>
    <row r="7" spans="1:11" x14ac:dyDescent="0.3">
      <c r="A7" s="2">
        <v>45659</v>
      </c>
      <c r="B7" s="4">
        <f>DAY(A7)</f>
        <v>2</v>
      </c>
      <c r="C7" s="4">
        <f>MONTH(A7)</f>
        <v>1</v>
      </c>
      <c r="D7" s="4">
        <f>YEAR(A7)</f>
        <v>2025</v>
      </c>
      <c r="E7" s="1" t="s">
        <v>7</v>
      </c>
      <c r="F7" s="1" t="s">
        <v>16</v>
      </c>
      <c r="G7" s="4">
        <v>756.66666666666697</v>
      </c>
      <c r="H7" s="1" t="s">
        <v>30</v>
      </c>
    </row>
    <row r="8" spans="1:11" x14ac:dyDescent="0.3">
      <c r="A8" s="2">
        <v>45691</v>
      </c>
      <c r="B8" s="4">
        <f>DAY(A8)</f>
        <v>3</v>
      </c>
      <c r="C8" s="4">
        <f>MONTH(A8)</f>
        <v>2</v>
      </c>
      <c r="D8" s="4">
        <f>YEAR(A8)</f>
        <v>2025</v>
      </c>
      <c r="E8" s="1" t="s">
        <v>5</v>
      </c>
      <c r="F8" s="1" t="s">
        <v>17</v>
      </c>
      <c r="G8" s="4">
        <v>806.66666666666697</v>
      </c>
      <c r="H8" s="1" t="s">
        <v>30</v>
      </c>
    </row>
    <row r="9" spans="1:11" x14ac:dyDescent="0.3">
      <c r="A9" s="2">
        <v>45720</v>
      </c>
      <c r="B9" s="4">
        <f>DAY(A9)</f>
        <v>4</v>
      </c>
      <c r="C9" s="4">
        <f>MONTH(A9)</f>
        <v>3</v>
      </c>
      <c r="D9" s="4">
        <f>YEAR(A9)</f>
        <v>2025</v>
      </c>
      <c r="E9" s="1" t="s">
        <v>6</v>
      </c>
      <c r="F9" s="1" t="s">
        <v>18</v>
      </c>
      <c r="G9" s="4">
        <v>856.66666666666799</v>
      </c>
      <c r="H9" s="1" t="s">
        <v>31</v>
      </c>
    </row>
    <row r="10" spans="1:11" x14ac:dyDescent="0.3">
      <c r="A10" s="2">
        <v>45658</v>
      </c>
      <c r="B10" s="4">
        <f>DAY(A10)</f>
        <v>1</v>
      </c>
      <c r="C10" s="4">
        <f>MONTH(A10)</f>
        <v>1</v>
      </c>
      <c r="D10" s="4">
        <f>YEAR(A10)</f>
        <v>2025</v>
      </c>
      <c r="E10" s="1" t="s">
        <v>7</v>
      </c>
      <c r="F10" s="1" t="s">
        <v>19</v>
      </c>
      <c r="G10" s="4">
        <v>2906.6666666666601</v>
      </c>
      <c r="H10" s="1" t="s">
        <v>32</v>
      </c>
    </row>
    <row r="11" spans="1:11" x14ac:dyDescent="0.3">
      <c r="A11" s="2">
        <v>45659</v>
      </c>
      <c r="B11" s="4">
        <f>DAY(A11)</f>
        <v>2</v>
      </c>
      <c r="C11" s="4">
        <f>MONTH(A11)</f>
        <v>1</v>
      </c>
      <c r="D11" s="4">
        <f>YEAR(A11)</f>
        <v>2025</v>
      </c>
      <c r="E11" s="1" t="s">
        <v>8</v>
      </c>
      <c r="F11" s="1" t="s">
        <v>20</v>
      </c>
      <c r="G11" s="4">
        <v>956.66666666666799</v>
      </c>
      <c r="H11" s="1" t="s">
        <v>31</v>
      </c>
    </row>
    <row r="12" spans="1:11" x14ac:dyDescent="0.3">
      <c r="A12" s="2">
        <v>45691</v>
      </c>
      <c r="B12" s="4">
        <f>DAY(A12)</f>
        <v>3</v>
      </c>
      <c r="C12" s="4">
        <f>MONTH(A12)</f>
        <v>2</v>
      </c>
      <c r="D12" s="4">
        <f>YEAR(A12)</f>
        <v>2025</v>
      </c>
      <c r="E12" s="1" t="s">
        <v>9</v>
      </c>
      <c r="F12" s="1" t="s">
        <v>21</v>
      </c>
      <c r="G12" s="4">
        <v>1006.66666666667</v>
      </c>
      <c r="H12" s="1" t="s">
        <v>31</v>
      </c>
    </row>
    <row r="13" spans="1:11" x14ac:dyDescent="0.3">
      <c r="A13" s="2">
        <v>45720</v>
      </c>
      <c r="B13" s="4">
        <f>DAY(A13)</f>
        <v>4</v>
      </c>
      <c r="C13" s="4">
        <f>MONTH(A13)</f>
        <v>3</v>
      </c>
      <c r="D13" s="4">
        <f>YEAR(A13)</f>
        <v>2025</v>
      </c>
      <c r="E13" s="1" t="s">
        <v>7</v>
      </c>
      <c r="F13" s="1" t="s">
        <v>22</v>
      </c>
      <c r="G13" s="4">
        <v>1056.6666666666699</v>
      </c>
      <c r="H13" s="1" t="s">
        <v>30</v>
      </c>
    </row>
    <row r="14" spans="1:11" x14ac:dyDescent="0.3">
      <c r="A14" s="2">
        <v>45658</v>
      </c>
      <c r="B14" s="4">
        <f>DAY(A14)</f>
        <v>1</v>
      </c>
      <c r="C14" s="4">
        <f>MONTH(A14)</f>
        <v>1</v>
      </c>
      <c r="D14" s="4">
        <f>YEAR(A14)</f>
        <v>2025</v>
      </c>
      <c r="E14" s="1" t="s">
        <v>5</v>
      </c>
      <c r="F14" s="1" t="s">
        <v>11</v>
      </c>
      <c r="G14" s="4">
        <v>1106.6666666666699</v>
      </c>
      <c r="H14" s="1" t="s">
        <v>30</v>
      </c>
    </row>
    <row r="15" spans="1:11" x14ac:dyDescent="0.3">
      <c r="A15" s="2">
        <v>45659</v>
      </c>
      <c r="B15" s="4">
        <f>DAY(A15)</f>
        <v>2</v>
      </c>
      <c r="C15" s="4">
        <f>MONTH(A15)</f>
        <v>1</v>
      </c>
      <c r="D15" s="4">
        <f>YEAR(A15)</f>
        <v>2025</v>
      </c>
      <c r="E15" s="1" t="s">
        <v>6</v>
      </c>
      <c r="F15" s="1" t="s">
        <v>23</v>
      </c>
      <c r="G15" s="4">
        <v>1156.6666666666699</v>
      </c>
      <c r="H15" s="1" t="s">
        <v>31</v>
      </c>
    </row>
    <row r="16" spans="1:11" x14ac:dyDescent="0.3">
      <c r="A16" s="2">
        <v>45691</v>
      </c>
      <c r="B16" s="4">
        <f>DAY(A16)</f>
        <v>3</v>
      </c>
      <c r="C16" s="4">
        <f>MONTH(A16)</f>
        <v>2</v>
      </c>
      <c r="D16" s="4">
        <f>YEAR(A16)</f>
        <v>2025</v>
      </c>
      <c r="E16" s="1" t="s">
        <v>7</v>
      </c>
      <c r="F16" s="1" t="s">
        <v>24</v>
      </c>
      <c r="G16" s="4">
        <v>1206.6666666666699</v>
      </c>
      <c r="H16" s="1" t="s">
        <v>32</v>
      </c>
    </row>
    <row r="17" spans="1:8" x14ac:dyDescent="0.3">
      <c r="A17" s="2">
        <v>45720</v>
      </c>
      <c r="B17" s="4">
        <f>DAY(A17)</f>
        <v>4</v>
      </c>
      <c r="C17" s="4">
        <f>MONTH(A17)</f>
        <v>3</v>
      </c>
      <c r="D17" s="4">
        <f>YEAR(A17)</f>
        <v>2025</v>
      </c>
      <c r="E17" s="1" t="s">
        <v>8</v>
      </c>
      <c r="F17" s="1" t="s">
        <v>25</v>
      </c>
      <c r="G17" s="4">
        <v>2256.6666666666702</v>
      </c>
      <c r="H17" s="1" t="s">
        <v>31</v>
      </c>
    </row>
    <row r="18" spans="1:8" x14ac:dyDescent="0.3">
      <c r="A18" s="2">
        <v>45658</v>
      </c>
      <c r="B18" s="4">
        <f>DAY(A18)</f>
        <v>1</v>
      </c>
      <c r="C18" s="4">
        <f>MONTH(A18)</f>
        <v>1</v>
      </c>
      <c r="D18" s="4">
        <f>YEAR(A18)</f>
        <v>2025</v>
      </c>
      <c r="E18" s="1" t="s">
        <v>9</v>
      </c>
      <c r="F18" s="1" t="s">
        <v>26</v>
      </c>
      <c r="G18" s="4">
        <v>1306.6666666666699</v>
      </c>
      <c r="H18" s="1" t="s">
        <v>31</v>
      </c>
    </row>
    <row r="19" spans="1:8" x14ac:dyDescent="0.3">
      <c r="A19" s="2">
        <v>45659</v>
      </c>
      <c r="B19" s="4">
        <f>DAY(A19)</f>
        <v>2</v>
      </c>
      <c r="C19" s="4">
        <f>MONTH(A19)</f>
        <v>1</v>
      </c>
      <c r="D19" s="4">
        <f>YEAR(A19)</f>
        <v>2025</v>
      </c>
      <c r="E19" s="1" t="s">
        <v>7</v>
      </c>
      <c r="F19" s="1" t="s">
        <v>27</v>
      </c>
      <c r="G19" s="4">
        <v>1356.6666666666699</v>
      </c>
      <c r="H19" s="1" t="s">
        <v>30</v>
      </c>
    </row>
    <row r="20" spans="1:8" x14ac:dyDescent="0.3">
      <c r="A20" s="2">
        <v>45691</v>
      </c>
      <c r="B20" s="4">
        <f>DAY(A20)</f>
        <v>3</v>
      </c>
      <c r="C20" s="4">
        <f>MONTH(A20)</f>
        <v>2</v>
      </c>
      <c r="D20" s="4">
        <f>YEAR(A20)</f>
        <v>2025</v>
      </c>
      <c r="E20" s="1" t="s">
        <v>5</v>
      </c>
      <c r="F20" s="1" t="s">
        <v>28</v>
      </c>
      <c r="G20" s="4">
        <v>2406.6666666666702</v>
      </c>
      <c r="H20" s="1" t="s">
        <v>30</v>
      </c>
    </row>
    <row r="21" spans="1:8" x14ac:dyDescent="0.3">
      <c r="A21" s="2">
        <v>45720</v>
      </c>
      <c r="B21" s="4">
        <f>DAY(A21)</f>
        <v>4</v>
      </c>
      <c r="C21" s="4">
        <f>MONTH(A21)</f>
        <v>3</v>
      </c>
      <c r="D21" s="4">
        <f>YEAR(A21)</f>
        <v>2025</v>
      </c>
      <c r="E21" s="1" t="s">
        <v>6</v>
      </c>
      <c r="F21" s="1" t="s">
        <v>29</v>
      </c>
      <c r="G21" s="4">
        <v>1456.6666666666699</v>
      </c>
      <c r="H21" s="1" t="s">
        <v>31</v>
      </c>
    </row>
    <row r="22" spans="1:8" x14ac:dyDescent="0.3">
      <c r="F22" s="1"/>
      <c r="G22" s="1"/>
      <c r="H22" s="1"/>
    </row>
  </sheetData>
  <conditionalFormatting sqref="A6:A8 A10:A12 A14:A16 A18:A20 A2:D2 B5:B21 A3:B4 C3:D21">
    <cfRule type="timePeriod" dxfId="8" priority="5" timePeriod="lastMonth">
      <formula>AND(MONTH(A2)=MONTH(EDATE(TODAY(),0-1)),YEAR(A2)=YEAR(EDATE(TODAY(),0-1)))</formula>
    </cfRule>
  </conditionalFormatting>
  <conditionalFormatting sqref="H2:H21">
    <cfRule type="containsText" dxfId="7" priority="4" operator="containsText" text="UPI">
      <formula>NOT(ISERROR(SEARCH("UPI",H2)))</formula>
    </cfRule>
    <cfRule type="containsText" dxfId="6" priority="3" operator="containsText" text="CARD">
      <formula>NOT(ISERROR(SEARCH("CARD",H2)))</formula>
    </cfRule>
  </conditionalFormatting>
  <conditionalFormatting sqref="E2:E21">
    <cfRule type="containsText" dxfId="0" priority="2" operator="containsText" text="FOOD">
      <formula>NOT(ISERROR(SEARCH("FOOD",E2)))</formula>
    </cfRule>
    <cfRule type="containsText" dxfId="1" priority="1" operator="containsText" text="OTHER">
      <formula>NOT(ISERROR(SEARCH("OTHER",E2)))</formula>
    </cfRule>
  </conditionalFormatting>
  <dataValidations count="1">
    <dataValidation type="list" allowBlank="1" showInputMessage="1" showErrorMessage="1" sqref="E1:E21" xr:uid="{E39A0CEE-7ADD-458A-9A53-BA919F45A5BF}">
      <formula1>"FOOD,TRAVEL,FEES,SHOPPING,OTHER"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F08B-292F-407F-A9E1-E1846F59EA19}">
  <dimension ref="A1:D6"/>
  <sheetViews>
    <sheetView workbookViewId="0">
      <selection activeCell="K12" sqref="K12"/>
    </sheetView>
  </sheetViews>
  <sheetFormatPr defaultRowHeight="14.4" x14ac:dyDescent="0.3"/>
  <cols>
    <col min="1" max="1" width="15.44140625" customWidth="1"/>
    <col min="2" max="2" width="14.109375" customWidth="1"/>
    <col min="3" max="3" width="12.77734375" customWidth="1"/>
    <col min="4" max="4" width="19.77734375" customWidth="1"/>
  </cols>
  <sheetData>
    <row r="1" spans="1:4" x14ac:dyDescent="0.3">
      <c r="A1" s="1" t="s">
        <v>1</v>
      </c>
      <c r="B1" s="1" t="s">
        <v>33</v>
      </c>
      <c r="C1" t="s">
        <v>34</v>
      </c>
      <c r="D1" t="s">
        <v>35</v>
      </c>
    </row>
    <row r="2" spans="1:4" x14ac:dyDescent="0.3">
      <c r="A2" s="1" t="s">
        <v>5</v>
      </c>
      <c r="B2" s="1">
        <v>3500</v>
      </c>
      <c r="C2">
        <f>SUMIF(EXPENSES!E:E,A2,EXPENSES!G:G)</f>
        <v>4550.0000000000073</v>
      </c>
      <c r="D2">
        <f>B2-C2</f>
        <v>-1050.0000000000073</v>
      </c>
    </row>
    <row r="3" spans="1:4" x14ac:dyDescent="0.3">
      <c r="A3" s="1" t="s">
        <v>6</v>
      </c>
      <c r="B3" s="1">
        <v>2500</v>
      </c>
      <c r="C3">
        <f>SUMIF(EXPENSES!E:E,A3,EXPENSES!G:G)</f>
        <v>4580.0000000000073</v>
      </c>
      <c r="D3">
        <f>B3-C3</f>
        <v>-2080.0000000000073</v>
      </c>
    </row>
    <row r="4" spans="1:4" x14ac:dyDescent="0.3">
      <c r="A4" s="1" t="s">
        <v>7</v>
      </c>
      <c r="B4" s="4">
        <v>5000</v>
      </c>
      <c r="C4" s="3">
        <f>SUMIF(EXPENSES!E:E,A4,EXPENSES!G:G)</f>
        <v>7613.3333333333367</v>
      </c>
      <c r="D4" s="3">
        <f>B4-C4</f>
        <v>-2613.3333333333367</v>
      </c>
    </row>
    <row r="5" spans="1:4" x14ac:dyDescent="0.3">
      <c r="A5" s="1" t="s">
        <v>8</v>
      </c>
      <c r="B5" s="1">
        <v>4500</v>
      </c>
      <c r="C5">
        <f>SUMIF(EXPENSES!E:E,A5,EXPENSES!G:G)</f>
        <v>3870.000000000005</v>
      </c>
      <c r="D5">
        <f>B5-C5</f>
        <v>629.999999999995</v>
      </c>
    </row>
    <row r="6" spans="1:4" x14ac:dyDescent="0.3">
      <c r="A6" s="1" t="s">
        <v>9</v>
      </c>
      <c r="B6" s="1">
        <v>2000</v>
      </c>
      <c r="C6">
        <f>SUMIF(EXPENSES!E:E,A6,EXPENSES!G:G)</f>
        <v>5020</v>
      </c>
      <c r="D6">
        <f>B6-C6</f>
        <v>-3020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DB72-7A2B-4ABA-9317-B32F8F46CE19}">
  <dimension ref="A1"/>
  <sheetViews>
    <sheetView workbookViewId="0">
      <selection activeCell="N20" sqref="N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2026-01-02T20:01:22Z</dcterms:created>
  <dcterms:modified xsi:type="dcterms:W3CDTF">2026-01-09T18:15:26Z</dcterms:modified>
</cp:coreProperties>
</file>