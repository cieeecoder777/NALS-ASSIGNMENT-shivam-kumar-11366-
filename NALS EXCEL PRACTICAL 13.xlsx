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24ce2c12d9616f/"/>
    </mc:Choice>
  </mc:AlternateContent>
  <xr:revisionPtr revIDLastSave="0" documentId="8_{CF543058-D10D-4B10-94B9-6DB65E9B56AE}" xr6:coauthVersionLast="47" xr6:coauthVersionMax="47" xr10:uidLastSave="{00000000-0000-0000-0000-000000000000}"/>
  <bookViews>
    <workbookView xWindow="-108" yWindow="-108" windowWidth="23256" windowHeight="12576" activeTab="2" xr2:uid="{A8D361AD-B3D1-4308-AB10-7CAA0C977418}"/>
  </bookViews>
  <sheets>
    <sheet name="STUDENT DATA" sheetId="1" r:id="rId1"/>
    <sheet name="MARKS ANALYSIS" sheetId="2" r:id="rId2"/>
    <sheet name="CHA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O2" i="1" s="1"/>
  <c r="Q2" i="2"/>
  <c r="P2" i="2"/>
  <c r="L16" i="2"/>
  <c r="K16" i="2"/>
  <c r="J16" i="2"/>
  <c r="L15" i="2"/>
  <c r="K15" i="2"/>
  <c r="J15" i="2"/>
  <c r="L14" i="2"/>
  <c r="K14" i="2"/>
  <c r="J14" i="2"/>
  <c r="L13" i="2"/>
  <c r="K13" i="2"/>
  <c r="J13" i="2"/>
  <c r="L12" i="2"/>
  <c r="K12" i="2"/>
  <c r="J12" i="2"/>
  <c r="L11" i="2"/>
  <c r="K11" i="2"/>
  <c r="J11" i="2"/>
  <c r="L10" i="2"/>
  <c r="K10" i="2"/>
  <c r="J10" i="2"/>
  <c r="L9" i="2"/>
  <c r="K9" i="2"/>
  <c r="J9" i="2"/>
  <c r="L8" i="2"/>
  <c r="K8" i="2"/>
  <c r="J8" i="2"/>
  <c r="L7" i="2"/>
  <c r="K7" i="2"/>
  <c r="J7" i="2"/>
  <c r="L6" i="2"/>
  <c r="K6" i="2"/>
  <c r="J6" i="2"/>
  <c r="L5" i="2"/>
  <c r="K5" i="2"/>
  <c r="J5" i="2"/>
  <c r="L4" i="2"/>
  <c r="K4" i="2"/>
  <c r="J4" i="2"/>
  <c r="L3" i="2"/>
  <c r="K3" i="2"/>
  <c r="J3" i="2"/>
  <c r="L2" i="2"/>
  <c r="K2" i="2"/>
  <c r="J2" i="2"/>
  <c r="L2" i="1"/>
  <c r="L5" i="1"/>
  <c r="L3" i="1"/>
  <c r="L4" i="1"/>
  <c r="L6" i="1"/>
  <c r="L7" i="1"/>
  <c r="L8" i="1"/>
  <c r="L9" i="1"/>
  <c r="L10" i="1"/>
  <c r="L11" i="1"/>
  <c r="L12" i="1"/>
  <c r="L13" i="1"/>
  <c r="L14" i="1"/>
  <c r="L15" i="1"/>
  <c r="L16" i="1"/>
  <c r="K4" i="1"/>
  <c r="K3" i="1"/>
  <c r="K5" i="1"/>
  <c r="K6" i="1"/>
  <c r="K7" i="1"/>
  <c r="K8" i="1"/>
  <c r="K9" i="1"/>
  <c r="K10" i="1"/>
  <c r="K11" i="1"/>
  <c r="K12" i="1"/>
  <c r="K13" i="1"/>
  <c r="K14" i="1"/>
  <c r="K15" i="1"/>
  <c r="K1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O2" i="2" l="1"/>
  <c r="M2" i="2"/>
  <c r="N2" i="2"/>
  <c r="M2" i="1"/>
  <c r="N2" i="1"/>
</calcChain>
</file>

<file path=xl/sharedStrings.xml><?xml version="1.0" encoding="utf-8"?>
<sst xmlns="http://schemas.openxmlformats.org/spreadsheetml/2006/main" count="157" uniqueCount="78">
  <si>
    <t>FULL NAME</t>
  </si>
  <si>
    <t>SHIVAM RAJ</t>
  </si>
  <si>
    <t>RAHUL PAHARIYA</t>
  </si>
  <si>
    <t>RAUNAK BHARDWAJ</t>
  </si>
  <si>
    <t>ADITYA SINGH</t>
  </si>
  <si>
    <t>NITISH RAJAK</t>
  </si>
  <si>
    <t>AMIT MANDAL</t>
  </si>
  <si>
    <t>SHIVAM KUMAR</t>
  </si>
  <si>
    <t>RAJA SINGH</t>
  </si>
  <si>
    <t>RANJIT SINGH</t>
  </si>
  <si>
    <t>RAJMANI SINGH</t>
  </si>
  <si>
    <t>RAJU MEHTA</t>
  </si>
  <si>
    <t>ANAND KUMAR</t>
  </si>
  <si>
    <t>AKASH MAHATO</t>
  </si>
  <si>
    <t>ANKIT RAO</t>
  </si>
  <si>
    <t>FIRST NAME</t>
  </si>
  <si>
    <t>LAST NAME</t>
  </si>
  <si>
    <t>SHIVAM</t>
  </si>
  <si>
    <t>RAJ</t>
  </si>
  <si>
    <t>PAHARIYA</t>
  </si>
  <si>
    <t>BHARDWAJ</t>
  </si>
  <si>
    <t>SINGH</t>
  </si>
  <si>
    <t>RAJAK</t>
  </si>
  <si>
    <t>MANDAL</t>
  </si>
  <si>
    <t>KUMAR</t>
  </si>
  <si>
    <t>MEHTA</t>
  </si>
  <si>
    <t>MAHATO</t>
  </si>
  <si>
    <t>RAO</t>
  </si>
  <si>
    <t>RAHUL</t>
  </si>
  <si>
    <t>RAUNAK</t>
  </si>
  <si>
    <t>ADITYA</t>
  </si>
  <si>
    <t>NITISH</t>
  </si>
  <si>
    <t>AMIT</t>
  </si>
  <si>
    <t>RAJA</t>
  </si>
  <si>
    <t>RANJIT</t>
  </si>
  <si>
    <t>RAJMANI</t>
  </si>
  <si>
    <t>RAJU</t>
  </si>
  <si>
    <t>ANAND</t>
  </si>
  <si>
    <t>AKASH</t>
  </si>
  <si>
    <t>ANKIT</t>
  </si>
  <si>
    <t>ROLL  NO.</t>
  </si>
  <si>
    <t>SHURYA ROY</t>
  </si>
  <si>
    <t>SHURYA</t>
  </si>
  <si>
    <t>ROY</t>
  </si>
  <si>
    <t>STATE</t>
  </si>
  <si>
    <t>BIHAR</t>
  </si>
  <si>
    <t>CLASS</t>
  </si>
  <si>
    <t>BHOPAL</t>
  </si>
  <si>
    <t>SRI NAGAR</t>
  </si>
  <si>
    <t>GOA</t>
  </si>
  <si>
    <t>CHHATISGRAH</t>
  </si>
  <si>
    <t>JHARKHAND</t>
  </si>
  <si>
    <t>MUMBAI</t>
  </si>
  <si>
    <t>UTTARAKHAND</t>
  </si>
  <si>
    <t>SIKKIM</t>
  </si>
  <si>
    <t>NGALAND</t>
  </si>
  <si>
    <t>JAMMU &amp;  KASHMIR</t>
  </si>
  <si>
    <t>GUJARAT</t>
  </si>
  <si>
    <t>HARYANA</t>
  </si>
  <si>
    <t>UTTARPRADESH</t>
  </si>
  <si>
    <t>ENG -MARKS</t>
  </si>
  <si>
    <t>PHY -MARKS</t>
  </si>
  <si>
    <t>MATHS-MARKS</t>
  </si>
  <si>
    <t>TOTAL MARKS</t>
  </si>
  <si>
    <t xml:space="preserve">   RESULT</t>
  </si>
  <si>
    <t xml:space="preserve">  AVERAGE</t>
  </si>
  <si>
    <t>NO.OF STUDENT PASS</t>
  </si>
  <si>
    <t>NO.OF STUDENT FAIL</t>
  </si>
  <si>
    <t xml:space="preserve">   CLASS  AVG{ OVERALL}</t>
  </si>
  <si>
    <t xml:space="preserve">                                                   CLASS  AVG{ OVERALL}</t>
  </si>
  <si>
    <t xml:space="preserve">                           NO.OF STUDENT FAIL</t>
  </si>
  <si>
    <t xml:space="preserve">            NO.OF STUDENT PASS</t>
  </si>
  <si>
    <t>MAX</t>
  </si>
  <si>
    <t>MIN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</si>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</sst>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</cellXfs>
  <cellStyles count="1">
    <cellStyle name="Normal" xfId="0" builtinId="0"/>
  </cellStyles>
  <dxfs count="1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580927384076992E-2"/>
          <c:y val="0.19486111111111112"/>
          <c:w val="0.902974628171478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'STUDENT DATA'!$G$2:$G$16</c:f>
              <c:numCache>
                <c:formatCode>General</c:formatCode>
                <c:ptCount val="15"/>
                <c:pt idx="0">
                  <c:v>15</c:v>
                </c:pt>
                <c:pt idx="1">
                  <c:v>57</c:v>
                </c:pt>
                <c:pt idx="2">
                  <c:v>59</c:v>
                </c:pt>
                <c:pt idx="3">
                  <c:v>32</c:v>
                </c:pt>
                <c:pt idx="4">
                  <c:v>63</c:v>
                </c:pt>
                <c:pt idx="5">
                  <c:v>65</c:v>
                </c:pt>
                <c:pt idx="6">
                  <c:v>67</c:v>
                </c:pt>
                <c:pt idx="7">
                  <c:v>69</c:v>
                </c:pt>
                <c:pt idx="8">
                  <c:v>29</c:v>
                </c:pt>
                <c:pt idx="9">
                  <c:v>38</c:v>
                </c:pt>
                <c:pt idx="10">
                  <c:v>75</c:v>
                </c:pt>
                <c:pt idx="11">
                  <c:v>77</c:v>
                </c:pt>
                <c:pt idx="12">
                  <c:v>79</c:v>
                </c:pt>
                <c:pt idx="13">
                  <c:v>81</c:v>
                </c:pt>
                <c:pt idx="1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E-4F73-8514-07A2F43EF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562128"/>
        <c:axId val="968561168"/>
      </c:barChart>
      <c:catAx>
        <c:axId val="968562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561168"/>
        <c:crosses val="autoZero"/>
        <c:auto val="1"/>
        <c:lblAlgn val="ctr"/>
        <c:lblOffset val="100"/>
        <c:noMultiLvlLbl val="0"/>
      </c:catAx>
      <c:valAx>
        <c:axId val="96856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56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8E-479D-AF32-D6FE3C78366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8E-479D-AF32-D6FE3C78366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8E-479D-AF32-D6FE3C783660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8E-479D-AF32-D6FE3C783660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58E-479D-AF32-D6FE3C783660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58E-479D-AF32-D6FE3C783660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58E-479D-AF32-D6FE3C783660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58E-479D-AF32-D6FE3C783660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58E-479D-AF32-D6FE3C783660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58E-479D-AF32-D6FE3C783660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58E-479D-AF32-D6FE3C783660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58E-479D-AF32-D6FE3C783660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58E-479D-AF32-D6FE3C783660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58E-479D-AF32-D6FE3C783660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58E-479D-AF32-D6FE3C783660}"/>
              </c:ext>
            </c:extLst>
          </c:dPt>
          <c:dLbls>
            <c:dLbl>
              <c:idx val="0"/>
              <c:layout>
                <c:manualLayout>
                  <c:x val="1.7424759405074368E-2"/>
                  <c:y val="-0.1521941528142314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919444444444445"/>
                      <c:h val="0.166597404491105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58E-479D-AF32-D6FE3C7836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'STUDENT DATA'!$L$2:$L$16</c:f>
              <c:strCache>
                <c:ptCount val="15"/>
                <c:pt idx="0">
                  <c:v>FAIL</c:v>
                </c:pt>
                <c:pt idx="1">
                  <c:v>PASS</c:v>
                </c:pt>
                <c:pt idx="2">
                  <c:v>PASS</c:v>
                </c:pt>
                <c:pt idx="3">
                  <c:v>FAIL</c:v>
                </c:pt>
                <c:pt idx="4">
                  <c:v>PASS</c:v>
                </c:pt>
                <c:pt idx="5">
                  <c:v>FAIL</c:v>
                </c:pt>
                <c:pt idx="6">
                  <c:v>FAIL</c:v>
                </c:pt>
                <c:pt idx="7">
                  <c:v>PASS</c:v>
                </c:pt>
                <c:pt idx="8">
                  <c:v>FAIL</c:v>
                </c:pt>
                <c:pt idx="9">
                  <c:v>FAIL</c:v>
                </c:pt>
                <c:pt idx="10">
                  <c:v>PASS</c:v>
                </c:pt>
                <c:pt idx="11">
                  <c:v>PASS</c:v>
                </c:pt>
                <c:pt idx="12">
                  <c:v>PASS</c:v>
                </c:pt>
                <c:pt idx="13">
                  <c:v>FAIL</c:v>
                </c:pt>
                <c:pt idx="14">
                  <c:v>FAIL</c:v>
                </c:pt>
              </c:strCache>
            </c:strRef>
          </c:cat>
          <c:val>
            <c:numRef>
              <c:f>'STUDENT DATA'!$M$2:$M$16</c:f>
              <c:numCache>
                <c:formatCode>General</c:formatCode>
                <c:ptCount val="15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58E-479D-AF32-D6FE3C78366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0</xdr:row>
      <xdr:rowOff>45720</xdr:rowOff>
    </xdr:from>
    <xdr:to>
      <xdr:col>7</xdr:col>
      <xdr:colOff>411480</xdr:colOff>
      <xdr:row>15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F8C21F-FFB0-49AB-93AE-9F6A576C0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449580</xdr:colOff>
      <xdr:row>0</xdr:row>
      <xdr:rowOff>38100</xdr:rowOff>
    </xdr:from>
    <xdr:to>
      <xdr:col>15</xdr:col>
      <xdr:colOff>144780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66225D-5B4E-42C0-BBA0-10B67C017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C18ED6-D966-4271-BBC1-57110752FF26}" name="Table1" displayName="Table1" ref="A1:O16" totalsRowShown="0" headerRowDxfId="162">
  <autoFilter ref="A1:O16" xr:uid="{CEC18ED6-D966-4271-BBC1-57110752FF26}"/>
  <tableColumns count="15">
    <tableColumn id="1" xr3:uid="{D6D07609-0CE7-4681-8415-B20FA71770FB}" name="FULL NAME" dataDxfId="176"/>
    <tableColumn id="2" xr3:uid="{D99E5B25-38B5-4E34-B1C6-758055377E02}" name="FIRST NAME" dataDxfId="175"/>
    <tableColumn id="3" xr3:uid="{251AE292-7578-43EB-A2D3-B67E4618398E}" name="LAST NAME" dataDxfId="174"/>
    <tableColumn id="4" xr3:uid="{539B108A-6A2C-49DD-A8BA-C71A4E751D50}" name="CLASS" dataDxfId="173"/>
    <tableColumn id="5" xr3:uid="{D44A7517-C675-496E-834C-2761503AD6BF}" name="ROLL  NO." dataDxfId="172"/>
    <tableColumn id="6" xr3:uid="{780DF1B0-291D-424C-8EEC-27E157412C0F}" name="STATE" dataDxfId="171"/>
    <tableColumn id="7" xr3:uid="{5CB54D2B-F04A-4997-AA74-63D09AE76C43}" name="ENG -MARKS" dataDxfId="170"/>
    <tableColumn id="8" xr3:uid="{B67DDF09-ED29-4683-BDDB-F0E5E0F0E9A9}" name="PHY -MARKS" dataDxfId="169"/>
    <tableColumn id="9" xr3:uid="{CBA3336A-4E0F-4B9D-B126-6EF6B0E50879}" name="MATHS-MARKS" dataDxfId="168"/>
    <tableColumn id="10" xr3:uid="{2F304685-AE6A-4238-980B-637E891ABDA2}" name="TOTAL MARKS" dataDxfId="167">
      <calculatedColumnFormula>SUM(G2:I2)</calculatedColumnFormula>
    </tableColumn>
    <tableColumn id="11" xr3:uid="{F8A3D07C-7242-4445-95F8-809E4BCCB088}" name="  AVERAGE" dataDxfId="166">
      <calculatedColumnFormula>AVERAGE(G2:I2)</calculatedColumnFormula>
    </tableColumn>
    <tableColumn id="12" xr3:uid="{549D6CDF-357E-4961-B179-CE7CBDA82601}" name="   RESULT" dataDxfId="161">
      <calculatedColumnFormula>IF(AND(G2&gt;=40,H2&gt;=40,I2&gt;=40),"PASS","FAIL")</calculatedColumnFormula>
    </tableColumn>
    <tableColumn id="13" xr3:uid="{24351612-FC85-4F66-9EEF-E4F8C35BC66D}" name="NO.OF STUDENT PASS" dataDxfId="165"/>
    <tableColumn id="14" xr3:uid="{F108594F-061E-4F02-AFE1-3475D8336498}" name="NO.OF STUDENT FAIL" dataDxfId="164"/>
    <tableColumn id="15" xr3:uid="{D2D97A47-9E55-4D06-B71B-4F6ACB77D2F1}" name="   CLASS  AVG{ OVERALL}" dataDxfId="163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5F5F11-A224-4915-BBD4-C8328BC23B00}" name="Table13" displayName="Table13" ref="A1:Q16" totalsRowShown="0" headerRowDxfId="84">
  <autoFilter ref="A1:Q16" xr:uid="{135F5F11-A224-4915-BBD4-C8328BC23B00}"/>
  <tableColumns count="17">
    <tableColumn id="1" xr3:uid="{33612683-92E4-4D9C-AF25-EB0C9876C2FE}" name="FULL NAME" dataDxfId="83"/>
    <tableColumn id="2" xr3:uid="{2E9E4F2A-A698-4639-ACEA-7BB8ED025B79}" name="FIRST NAME" dataDxfId="82"/>
    <tableColumn id="3" xr3:uid="{5F5101B8-5E73-4E27-A45A-D14F9B320783}" name="LAST NAME" dataDxfId="81"/>
    <tableColumn id="4" xr3:uid="{4CFF6640-5C0A-4AD2-A613-0C163D704920}" name="CLASS" dataDxfId="80"/>
    <tableColumn id="5" xr3:uid="{3630E637-823F-4296-AD4A-164B83811193}" name="ROLL  NO." dataDxfId="79"/>
    <tableColumn id="6" xr3:uid="{34A92C3D-299D-4051-BB5D-CEE378A0E245}" name="STATE" dataDxfId="78"/>
    <tableColumn id="7" xr3:uid="{C20FBDCB-AF1A-42A5-B618-2E4171DA539A}" name="ENG -MARKS" dataDxfId="77"/>
    <tableColumn id="8" xr3:uid="{F1DDB04C-28B4-4E77-9133-3F8668A9B36D}" name="PHY -MARKS" dataDxfId="76"/>
    <tableColumn id="9" xr3:uid="{D4F7D987-3057-43A0-A98C-C31E9821147B}" name="MATHS-MARKS" dataDxfId="75"/>
    <tableColumn id="10" xr3:uid="{52181256-FDBD-4B0E-9611-A8A7B982EB61}" name="TOTAL MARKS" dataDxfId="74">
      <calculatedColumnFormula>SUM(G2:I2)</calculatedColumnFormula>
    </tableColumn>
    <tableColumn id="11" xr3:uid="{0AEBBAFD-C6BE-4B2B-A642-5E0D9D170E66}" name="  AVERAGE" dataDxfId="73">
      <calculatedColumnFormula>AVERAGE(G2:I2)</calculatedColumnFormula>
    </tableColumn>
    <tableColumn id="12" xr3:uid="{6CA2C0A6-55CF-4BC0-8191-4341464F653C}" name="   RESULT" dataDxfId="72">
      <calculatedColumnFormula>IF(AND(G2&gt;=40,H2&gt;=40,I2&gt;=40),"PASS","FAIL")</calculatedColumnFormula>
    </tableColumn>
    <tableColumn id="13" xr3:uid="{E81376DC-FB61-41F7-BE04-29950AABF1EC}" name="            NO.OF STUDENT PASS" dataDxfId="71"/>
    <tableColumn id="14" xr3:uid="{DC418D00-B27C-42AF-9C0F-CA23446FDB7F}" name="                           NO.OF STUDENT FAIL" dataDxfId="70"/>
    <tableColumn id="15" xr3:uid="{DDD3A18E-7D68-4FDA-B4E1-FC5BAB9EDC81}" name="                                                   CLASS  AVG{ OVERALL}" dataDxfId="69"/>
    <tableColumn id="16" xr3:uid="{D9AC8A20-14B3-433F-8150-35309E0B6122}" name="MAX" dataDxfId="68"/>
    <tableColumn id="17" xr3:uid="{CFAF6565-AEAB-465E-907F-0163E923A5B4}" name="MIN" dataDxfId="6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B97F-8F8D-4F4A-9F2D-97BDA9565E42}">
  <dimension ref="A1:O16"/>
  <sheetViews>
    <sheetView zoomScale="91" workbookViewId="0">
      <selection activeCell="L2" sqref="L2:M16"/>
    </sheetView>
  </sheetViews>
  <sheetFormatPr defaultRowHeight="14.4" x14ac:dyDescent="0.3"/>
  <cols>
    <col min="1" max="1" width="17.6640625" style="1" customWidth="1"/>
    <col min="2" max="2" width="12.5546875" style="1" customWidth="1"/>
    <col min="3" max="3" width="12" style="1" customWidth="1"/>
    <col min="4" max="4" width="9.88671875" style="1" customWidth="1"/>
    <col min="5" max="5" width="11" style="1" customWidth="1"/>
    <col min="6" max="6" width="16.5546875" style="1" customWidth="1"/>
    <col min="7" max="7" width="13.21875" style="1" customWidth="1"/>
    <col min="8" max="8" width="13" style="1" customWidth="1"/>
    <col min="9" max="9" width="15" style="1" customWidth="1"/>
    <col min="10" max="10" width="14" style="1" customWidth="1"/>
    <col min="11" max="11" width="11.33203125" style="1" customWidth="1"/>
    <col min="12" max="12" width="10.88671875" style="1" customWidth="1"/>
    <col min="13" max="13" width="20.88671875" style="1" customWidth="1"/>
    <col min="14" max="14" width="20.109375" style="1" customWidth="1"/>
    <col min="15" max="15" width="22.21875" style="1" customWidth="1"/>
    <col min="16" max="16384" width="8.88671875" style="1"/>
  </cols>
  <sheetData>
    <row r="1" spans="1:15" x14ac:dyDescent="0.3">
      <c r="A1" s="1" t="s">
        <v>0</v>
      </c>
      <c r="B1" s="1" t="s">
        <v>15</v>
      </c>
      <c r="C1" s="1" t="s">
        <v>16</v>
      </c>
      <c r="D1" s="1" t="s">
        <v>46</v>
      </c>
      <c r="E1" s="1" t="s">
        <v>40</v>
      </c>
      <c r="F1" s="1" t="s">
        <v>44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65</v>
      </c>
      <c r="L1" s="1" t="s">
        <v>64</v>
      </c>
      <c r="M1" s="1" t="s">
        <v>66</v>
      </c>
      <c r="N1" s="1" t="s">
        <v>67</v>
      </c>
      <c r="O1" s="1" t="s">
        <v>68</v>
      </c>
    </row>
    <row r="2" spans="1:15" x14ac:dyDescent="0.3">
      <c r="A2" s="1" t="s">
        <v>1</v>
      </c>
      <c r="B2" s="1" t="s">
        <v>17</v>
      </c>
      <c r="C2" s="1" t="s">
        <v>18</v>
      </c>
      <c r="D2" s="1">
        <v>9</v>
      </c>
      <c r="E2" s="1">
        <v>1</v>
      </c>
      <c r="F2" s="1" t="s">
        <v>45</v>
      </c>
      <c r="G2" s="1">
        <v>15</v>
      </c>
      <c r="H2" s="1">
        <v>45</v>
      </c>
      <c r="I2" s="1">
        <v>43</v>
      </c>
      <c r="J2" s="1">
        <f>SUM(G2:I2)</f>
        <v>103</v>
      </c>
      <c r="K2" s="2">
        <f>AVERAGE(G2:I2)</f>
        <v>34.333333333333336</v>
      </c>
      <c r="L2" s="1" t="str">
        <f>IF(AND(G2&gt;=40,H2&gt;=40,I2&gt;=40),"PASS","FAIL")</f>
        <v>FAIL</v>
      </c>
      <c r="M2" s="1">
        <f>COUNTIF(L2:L16,"PASS")</f>
        <v>7</v>
      </c>
      <c r="N2" s="1">
        <f>COUNTIF(L2:L16,"FAIL")</f>
        <v>8</v>
      </c>
      <c r="O2" s="2">
        <f>AVERAGE(K2:K16)</f>
        <v>57.755555555555553</v>
      </c>
    </row>
    <row r="3" spans="1:15" x14ac:dyDescent="0.3">
      <c r="A3" s="1" t="s">
        <v>2</v>
      </c>
      <c r="B3" s="1" t="s">
        <v>28</v>
      </c>
      <c r="C3" s="1" t="s">
        <v>19</v>
      </c>
      <c r="D3" s="1">
        <v>9</v>
      </c>
      <c r="E3" s="1">
        <v>2</v>
      </c>
      <c r="F3" s="1" t="s">
        <v>47</v>
      </c>
      <c r="G3" s="1">
        <v>57</v>
      </c>
      <c r="H3" s="1">
        <v>47</v>
      </c>
      <c r="I3" s="1">
        <v>46</v>
      </c>
      <c r="J3" s="1">
        <f>SUM(G3:I3)</f>
        <v>150</v>
      </c>
      <c r="K3" s="2">
        <f t="shared" ref="K3:K16" si="0">AVERAGE(G3:I3)</f>
        <v>50</v>
      </c>
      <c r="L3" s="1" t="str">
        <f t="shared" ref="L3:L15" si="1">IF(AND(G3&gt;=40,H3&gt;=40,I3&gt;=40),"PASS","FAIL")</f>
        <v>PASS</v>
      </c>
    </row>
    <row r="4" spans="1:15" x14ac:dyDescent="0.3">
      <c r="A4" s="1" t="s">
        <v>3</v>
      </c>
      <c r="B4" s="1" t="s">
        <v>29</v>
      </c>
      <c r="C4" s="1" t="s">
        <v>20</v>
      </c>
      <c r="D4" s="1">
        <v>9</v>
      </c>
      <c r="E4" s="1">
        <v>3</v>
      </c>
      <c r="F4" s="1" t="s">
        <v>48</v>
      </c>
      <c r="G4" s="1">
        <v>59</v>
      </c>
      <c r="H4" s="1">
        <v>49</v>
      </c>
      <c r="I4" s="1">
        <v>49</v>
      </c>
      <c r="J4" s="1">
        <f t="shared" ref="J3:J16" si="2">SUM(G4:I4)</f>
        <v>157</v>
      </c>
      <c r="K4" s="2">
        <f>AVERAGE(G4:I4)</f>
        <v>52.333333333333336</v>
      </c>
      <c r="L4" s="1" t="str">
        <f t="shared" si="1"/>
        <v>PASS</v>
      </c>
    </row>
    <row r="5" spans="1:15" x14ac:dyDescent="0.3">
      <c r="A5" s="1" t="s">
        <v>4</v>
      </c>
      <c r="B5" s="1" t="s">
        <v>30</v>
      </c>
      <c r="C5" s="1" t="s">
        <v>21</v>
      </c>
      <c r="D5" s="1">
        <v>9</v>
      </c>
      <c r="E5" s="1">
        <v>4</v>
      </c>
      <c r="F5" s="1" t="s">
        <v>49</v>
      </c>
      <c r="G5" s="1">
        <v>32</v>
      </c>
      <c r="H5" s="1">
        <v>51</v>
      </c>
      <c r="I5" s="1">
        <v>52</v>
      </c>
      <c r="J5" s="1">
        <f t="shared" si="2"/>
        <v>135</v>
      </c>
      <c r="K5" s="2">
        <f t="shared" si="0"/>
        <v>45</v>
      </c>
      <c r="L5" s="1" t="str">
        <f>IF(AND(G5&gt;=40,H5&gt;=40,I5&gt;=40),"PASS","FAIL")</f>
        <v>FAIL</v>
      </c>
    </row>
    <row r="6" spans="1:15" x14ac:dyDescent="0.3">
      <c r="A6" s="1" t="s">
        <v>5</v>
      </c>
      <c r="B6" s="1" t="s">
        <v>31</v>
      </c>
      <c r="C6" s="1" t="s">
        <v>22</v>
      </c>
      <c r="D6" s="1">
        <v>9</v>
      </c>
      <c r="E6" s="1">
        <v>5</v>
      </c>
      <c r="F6" s="1" t="s">
        <v>50</v>
      </c>
      <c r="G6" s="1">
        <v>63</v>
      </c>
      <c r="H6" s="1">
        <v>53</v>
      </c>
      <c r="I6" s="1">
        <v>55</v>
      </c>
      <c r="J6" s="1">
        <f t="shared" si="2"/>
        <v>171</v>
      </c>
      <c r="K6" s="2">
        <f t="shared" si="0"/>
        <v>57</v>
      </c>
      <c r="L6" s="1" t="str">
        <f t="shared" si="1"/>
        <v>PASS</v>
      </c>
    </row>
    <row r="7" spans="1:15" x14ac:dyDescent="0.3">
      <c r="A7" s="1" t="s">
        <v>6</v>
      </c>
      <c r="B7" s="1" t="s">
        <v>32</v>
      </c>
      <c r="C7" s="1" t="s">
        <v>23</v>
      </c>
      <c r="D7" s="1">
        <v>9</v>
      </c>
      <c r="E7" s="1">
        <v>6</v>
      </c>
      <c r="F7" s="1" t="s">
        <v>51</v>
      </c>
      <c r="G7" s="1">
        <v>65</v>
      </c>
      <c r="H7" s="1">
        <v>55</v>
      </c>
      <c r="I7" s="1">
        <v>22</v>
      </c>
      <c r="J7" s="1">
        <f t="shared" si="2"/>
        <v>142</v>
      </c>
      <c r="K7" s="2">
        <f t="shared" si="0"/>
        <v>47.333333333333336</v>
      </c>
      <c r="L7" s="1" t="str">
        <f t="shared" si="1"/>
        <v>FAIL</v>
      </c>
    </row>
    <row r="8" spans="1:15" x14ac:dyDescent="0.3">
      <c r="A8" s="1" t="s">
        <v>7</v>
      </c>
      <c r="B8" s="1" t="s">
        <v>17</v>
      </c>
      <c r="C8" s="1" t="s">
        <v>24</v>
      </c>
      <c r="D8" s="1">
        <v>9</v>
      </c>
      <c r="E8" s="1">
        <v>7</v>
      </c>
      <c r="F8" s="1" t="s">
        <v>45</v>
      </c>
      <c r="G8" s="1">
        <v>67</v>
      </c>
      <c r="H8" s="1">
        <v>33</v>
      </c>
      <c r="I8" s="1">
        <v>61</v>
      </c>
      <c r="J8" s="1">
        <f t="shared" si="2"/>
        <v>161</v>
      </c>
      <c r="K8" s="2">
        <f t="shared" si="0"/>
        <v>53.666666666666664</v>
      </c>
      <c r="L8" s="1" t="str">
        <f t="shared" si="1"/>
        <v>FAIL</v>
      </c>
    </row>
    <row r="9" spans="1:15" x14ac:dyDescent="0.3">
      <c r="A9" s="1" t="s">
        <v>8</v>
      </c>
      <c r="B9" s="1" t="s">
        <v>33</v>
      </c>
      <c r="C9" s="1" t="s">
        <v>21</v>
      </c>
      <c r="D9" s="1">
        <v>9</v>
      </c>
      <c r="E9" s="1">
        <v>8</v>
      </c>
      <c r="F9" s="1" t="s">
        <v>52</v>
      </c>
      <c r="G9" s="1">
        <v>69</v>
      </c>
      <c r="H9" s="1">
        <v>59</v>
      </c>
      <c r="I9" s="1">
        <v>64</v>
      </c>
      <c r="J9" s="1">
        <f t="shared" si="2"/>
        <v>192</v>
      </c>
      <c r="K9" s="2">
        <f t="shared" si="0"/>
        <v>64</v>
      </c>
      <c r="L9" s="1" t="str">
        <f>IF(AND(G9&gt;=40,H9&gt;=40,I9&gt;=40),"PASS","FAIL")</f>
        <v>PASS</v>
      </c>
    </row>
    <row r="10" spans="1:15" x14ac:dyDescent="0.3">
      <c r="A10" s="1" t="s">
        <v>9</v>
      </c>
      <c r="B10" s="1" t="s">
        <v>34</v>
      </c>
      <c r="C10" s="1" t="s">
        <v>21</v>
      </c>
      <c r="D10" s="1">
        <v>9</v>
      </c>
      <c r="E10" s="1">
        <v>9</v>
      </c>
      <c r="F10" s="1" t="s">
        <v>53</v>
      </c>
      <c r="G10" s="1">
        <v>29</v>
      </c>
      <c r="H10" s="1">
        <v>61</v>
      </c>
      <c r="I10" s="1">
        <v>67</v>
      </c>
      <c r="J10" s="1">
        <f t="shared" si="2"/>
        <v>157</v>
      </c>
      <c r="K10" s="2">
        <f t="shared" si="0"/>
        <v>52.333333333333336</v>
      </c>
      <c r="L10" s="1" t="str">
        <f t="shared" si="1"/>
        <v>FAIL</v>
      </c>
    </row>
    <row r="11" spans="1:15" x14ac:dyDescent="0.3">
      <c r="A11" s="1" t="s">
        <v>10</v>
      </c>
      <c r="B11" s="1" t="s">
        <v>35</v>
      </c>
      <c r="C11" s="1" t="s">
        <v>21</v>
      </c>
      <c r="D11" s="1">
        <v>9</v>
      </c>
      <c r="E11" s="1">
        <v>10</v>
      </c>
      <c r="F11" s="1" t="s">
        <v>54</v>
      </c>
      <c r="G11" s="1">
        <v>38</v>
      </c>
      <c r="H11" s="1">
        <v>63</v>
      </c>
      <c r="I11" s="1">
        <v>70</v>
      </c>
      <c r="J11" s="1">
        <f t="shared" si="2"/>
        <v>171</v>
      </c>
      <c r="K11" s="2">
        <f t="shared" si="0"/>
        <v>57</v>
      </c>
      <c r="L11" s="1" t="str">
        <f>IF(AND(G11&gt;=40,H11&gt;=40,I11&gt;=40),"PASS","FAIL")</f>
        <v>FAIL</v>
      </c>
    </row>
    <row r="12" spans="1:15" x14ac:dyDescent="0.3">
      <c r="A12" s="1" t="s">
        <v>11</v>
      </c>
      <c r="B12" s="1" t="s">
        <v>36</v>
      </c>
      <c r="C12" s="1" t="s">
        <v>25</v>
      </c>
      <c r="D12" s="1">
        <v>9</v>
      </c>
      <c r="E12" s="1">
        <v>11</v>
      </c>
      <c r="F12" s="1" t="s">
        <v>55</v>
      </c>
      <c r="G12" s="1">
        <v>75</v>
      </c>
      <c r="H12" s="1">
        <v>65</v>
      </c>
      <c r="I12" s="1">
        <v>73</v>
      </c>
      <c r="J12" s="1">
        <f t="shared" si="2"/>
        <v>213</v>
      </c>
      <c r="K12" s="2">
        <f t="shared" si="0"/>
        <v>71</v>
      </c>
      <c r="L12" s="1" t="str">
        <f>IF(AND(G12&gt;=40,H12&gt;=40,I12&gt;=40),"PASS","FAIL")</f>
        <v>PASS</v>
      </c>
    </row>
    <row r="13" spans="1:15" x14ac:dyDescent="0.3">
      <c r="A13" s="1" t="s">
        <v>12</v>
      </c>
      <c r="B13" s="1" t="s">
        <v>37</v>
      </c>
      <c r="C13" s="1" t="s">
        <v>24</v>
      </c>
      <c r="D13" s="1">
        <v>9</v>
      </c>
      <c r="E13" s="1">
        <v>12</v>
      </c>
      <c r="F13" s="1" t="s">
        <v>56</v>
      </c>
      <c r="G13" s="1">
        <v>77</v>
      </c>
      <c r="H13" s="1">
        <v>67</v>
      </c>
      <c r="I13" s="1">
        <v>76</v>
      </c>
      <c r="J13" s="1">
        <f t="shared" si="2"/>
        <v>220</v>
      </c>
      <c r="K13" s="2">
        <f t="shared" si="0"/>
        <v>73.333333333333329</v>
      </c>
      <c r="L13" s="1" t="str">
        <f t="shared" si="1"/>
        <v>PASS</v>
      </c>
    </row>
    <row r="14" spans="1:15" x14ac:dyDescent="0.3">
      <c r="A14" s="1" t="s">
        <v>13</v>
      </c>
      <c r="B14" s="1" t="s">
        <v>38</v>
      </c>
      <c r="C14" s="1" t="s">
        <v>26</v>
      </c>
      <c r="D14" s="1">
        <v>9</v>
      </c>
      <c r="E14" s="1">
        <v>13</v>
      </c>
      <c r="F14" s="1" t="s">
        <v>57</v>
      </c>
      <c r="G14" s="1">
        <v>79</v>
      </c>
      <c r="H14" s="1">
        <v>69</v>
      </c>
      <c r="I14" s="1">
        <v>79</v>
      </c>
      <c r="J14" s="1">
        <f t="shared" si="2"/>
        <v>227</v>
      </c>
      <c r="K14" s="2">
        <f t="shared" si="0"/>
        <v>75.666666666666671</v>
      </c>
      <c r="L14" s="1" t="str">
        <f t="shared" si="1"/>
        <v>PASS</v>
      </c>
    </row>
    <row r="15" spans="1:15" x14ac:dyDescent="0.3">
      <c r="A15" s="1" t="s">
        <v>14</v>
      </c>
      <c r="B15" s="1" t="s">
        <v>39</v>
      </c>
      <c r="C15" s="1" t="s">
        <v>27</v>
      </c>
      <c r="D15" s="1">
        <v>9</v>
      </c>
      <c r="E15" s="1">
        <v>14</v>
      </c>
      <c r="F15" s="1" t="s">
        <v>58</v>
      </c>
      <c r="G15" s="1">
        <v>81</v>
      </c>
      <c r="H15" s="1">
        <v>31</v>
      </c>
      <c r="I15" s="1">
        <v>82</v>
      </c>
      <c r="J15" s="1">
        <f t="shared" si="2"/>
        <v>194</v>
      </c>
      <c r="K15" s="2">
        <f t="shared" si="0"/>
        <v>64.666666666666671</v>
      </c>
      <c r="L15" s="1" t="str">
        <f t="shared" si="1"/>
        <v>FAIL</v>
      </c>
    </row>
    <row r="16" spans="1:15" x14ac:dyDescent="0.3">
      <c r="A16" s="1" t="s">
        <v>41</v>
      </c>
      <c r="B16" s="1" t="s">
        <v>42</v>
      </c>
      <c r="C16" s="1" t="s">
        <v>43</v>
      </c>
      <c r="D16" s="1">
        <v>9</v>
      </c>
      <c r="E16" s="1">
        <v>15</v>
      </c>
      <c r="F16" s="1" t="s">
        <v>59</v>
      </c>
      <c r="G16" s="1">
        <v>83</v>
      </c>
      <c r="H16" s="1">
        <v>38</v>
      </c>
      <c r="I16" s="1">
        <v>85</v>
      </c>
      <c r="J16" s="1">
        <f t="shared" si="2"/>
        <v>206</v>
      </c>
      <c r="K16" s="2">
        <f t="shared" si="0"/>
        <v>68.666666666666671</v>
      </c>
      <c r="L16" s="1" t="str">
        <f>IF(AND(G16&gt;=40,H16&gt;=40,I16&gt;=40),"PASS","FAIL")</f>
        <v>FAIL</v>
      </c>
    </row>
  </sheetData>
  <conditionalFormatting sqref="L2:L16">
    <cfRule type="cellIs" dxfId="26" priority="16" operator="lessThan">
      <formula>40</formula>
    </cfRule>
    <cfRule type="cellIs" dxfId="25" priority="15" operator="lessThan">
      <formula>40</formula>
    </cfRule>
    <cfRule type="top10" dxfId="24" priority="6" rank="1"/>
    <cfRule type="containsText" dxfId="23" priority="5" operator="containsText" text="FAIL">
      <formula>NOT(ISERROR(SEARCH("FAIL",L2)))</formula>
    </cfRule>
    <cfRule type="containsText" dxfId="22" priority="4" operator="containsText" text="PASS">
      <formula>NOT(ISERROR(SEARCH("PASS",L2)))</formula>
    </cfRule>
  </conditionalFormatting>
  <conditionalFormatting sqref="I2:I16">
    <cfRule type="cellIs" dxfId="21" priority="14" operator="lessThan">
      <formula>53.5</formula>
    </cfRule>
    <cfRule type="cellIs" dxfId="20" priority="10" operator="greaterThan">
      <formula>53.5</formula>
    </cfRule>
  </conditionalFormatting>
  <conditionalFormatting sqref="H2:H16">
    <cfRule type="cellIs" dxfId="19" priority="13" operator="lessThan">
      <formula>50</formula>
    </cfRule>
    <cfRule type="cellIs" dxfId="18" priority="11" operator="lessThan">
      <formula>40</formula>
    </cfRule>
    <cfRule type="cellIs" dxfId="17" priority="9" operator="greaterThan">
      <formula>53.5</formula>
    </cfRule>
    <cfRule type="cellIs" dxfId="16" priority="8" operator="greaterThan">
      <formula>53.5</formula>
    </cfRule>
  </conditionalFormatting>
  <conditionalFormatting sqref="K2:L16">
    <cfRule type="containsText" dxfId="15" priority="2" operator="containsText" text="FAIL">
      <formula>NOT(ISERROR(SEARCH("FAIL",K2)))</formula>
    </cfRule>
  </conditionalFormatting>
  <conditionalFormatting sqref="G2:G16">
    <cfRule type="cellIs" dxfId="0" priority="1" operator="lessThan">
      <formula>49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170AE-674A-4B27-8E75-063168336D24}">
  <dimension ref="A1:Q16"/>
  <sheetViews>
    <sheetView zoomScale="67" workbookViewId="0">
      <selection activeCell="Q4" sqref="Q4"/>
    </sheetView>
  </sheetViews>
  <sheetFormatPr defaultRowHeight="14.4" x14ac:dyDescent="0.3"/>
  <cols>
    <col min="1" max="1" width="12.88671875" customWidth="1"/>
    <col min="2" max="2" width="15" customWidth="1"/>
    <col min="3" max="3" width="15.33203125" customWidth="1"/>
    <col min="4" max="4" width="11.6640625" customWidth="1"/>
    <col min="5" max="5" width="13.44140625" customWidth="1"/>
    <col min="6" max="6" width="13.6640625" customWidth="1"/>
    <col min="7" max="7" width="15.88671875" customWidth="1"/>
    <col min="8" max="8" width="14.77734375" customWidth="1"/>
    <col min="9" max="9" width="17.5546875" customWidth="1"/>
    <col min="11" max="11" width="12.77734375" customWidth="1"/>
    <col min="12" max="12" width="11.109375" customWidth="1"/>
    <col min="13" max="13" width="26.6640625" customWidth="1"/>
    <col min="14" max="14" width="32.6640625" customWidth="1"/>
    <col min="15" max="15" width="47.5546875" customWidth="1"/>
  </cols>
  <sheetData>
    <row r="1" spans="1:17" ht="15.6" x14ac:dyDescent="0.3">
      <c r="A1" s="1" t="s">
        <v>0</v>
      </c>
      <c r="B1" s="1" t="s">
        <v>15</v>
      </c>
      <c r="C1" s="1" t="s">
        <v>16</v>
      </c>
      <c r="D1" s="1" t="s">
        <v>46</v>
      </c>
      <c r="E1" s="1" t="s">
        <v>40</v>
      </c>
      <c r="F1" s="1" t="s">
        <v>44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65</v>
      </c>
      <c r="L1" s="1" t="s">
        <v>64</v>
      </c>
      <c r="M1" s="1" t="s">
        <v>71</v>
      </c>
      <c r="N1" s="1" t="s">
        <v>70</v>
      </c>
      <c r="O1" s="1" t="s">
        <v>69</v>
      </c>
      <c r="P1" s="5" t="s">
        <v>72</v>
      </c>
      <c r="Q1" s="5" t="s">
        <v>73</v>
      </c>
    </row>
    <row r="2" spans="1:17" x14ac:dyDescent="0.3">
      <c r="A2" s="1" t="s">
        <v>1</v>
      </c>
      <c r="B2" s="1" t="s">
        <v>17</v>
      </c>
      <c r="C2" s="1" t="s">
        <v>18</v>
      </c>
      <c r="D2" s="1">
        <v>9</v>
      </c>
      <c r="E2" s="1">
        <v>1</v>
      </c>
      <c r="F2" s="1" t="s">
        <v>45</v>
      </c>
      <c r="G2" s="1">
        <v>15</v>
      </c>
      <c r="H2" s="1">
        <v>45</v>
      </c>
      <c r="I2" s="1">
        <v>43</v>
      </c>
      <c r="J2" s="1">
        <f>SUM(G2:I2)</f>
        <v>103</v>
      </c>
      <c r="K2" s="2">
        <f>AVERAGE(G2:I2)</f>
        <v>34.333333333333336</v>
      </c>
      <c r="L2" s="1" t="str">
        <f>IF(AND(G2&gt;=40,H2&gt;=40,I2&gt;=40),"PASS","FAIL")</f>
        <v>FAIL</v>
      </c>
      <c r="M2" s="1">
        <f>COUNTIF(L2:L16,"PASS")</f>
        <v>7</v>
      </c>
      <c r="N2" s="1">
        <f>COUNTIF(L2:L16,"FAIL")</f>
        <v>8</v>
      </c>
      <c r="O2" s="2">
        <f>AVERAGE(K2:K16)</f>
        <v>57.755555555555553</v>
      </c>
      <c r="P2" s="3">
        <f>MAX(J2:J16)</f>
        <v>227</v>
      </c>
      <c r="Q2" s="3">
        <f>MIN(J2:J16)</f>
        <v>103</v>
      </c>
    </row>
    <row r="3" spans="1:17" x14ac:dyDescent="0.3">
      <c r="A3" s="1" t="s">
        <v>2</v>
      </c>
      <c r="B3" s="1" t="s">
        <v>28</v>
      </c>
      <c r="C3" s="1" t="s">
        <v>19</v>
      </c>
      <c r="D3" s="1">
        <v>9</v>
      </c>
      <c r="E3" s="1">
        <v>2</v>
      </c>
      <c r="F3" s="1" t="s">
        <v>47</v>
      </c>
      <c r="G3" s="1">
        <v>57</v>
      </c>
      <c r="H3" s="1">
        <v>47</v>
      </c>
      <c r="I3" s="1">
        <v>46</v>
      </c>
      <c r="J3" s="1">
        <f>SUM(G3:I3)</f>
        <v>150</v>
      </c>
      <c r="K3" s="2">
        <f t="shared" ref="K3:K16" si="0">AVERAGE(G3:I3)</f>
        <v>50</v>
      </c>
      <c r="L3" s="1" t="str">
        <f t="shared" ref="L3:L15" si="1">IF(AND(G3&gt;=40,H3&gt;=40,I3&gt;=40),"PASS","FAIL")</f>
        <v>PASS</v>
      </c>
      <c r="M3" s="1"/>
      <c r="N3" s="1"/>
      <c r="O3" s="1"/>
      <c r="P3" s="1"/>
      <c r="Q3" s="1"/>
    </row>
    <row r="4" spans="1:17" x14ac:dyDescent="0.3">
      <c r="A4" s="1" t="s">
        <v>3</v>
      </c>
      <c r="B4" s="1" t="s">
        <v>29</v>
      </c>
      <c r="C4" s="1" t="s">
        <v>20</v>
      </c>
      <c r="D4" s="1">
        <v>9</v>
      </c>
      <c r="E4" s="1">
        <v>3</v>
      </c>
      <c r="F4" s="1" t="s">
        <v>48</v>
      </c>
      <c r="G4" s="1">
        <v>59</v>
      </c>
      <c r="H4" s="1">
        <v>49</v>
      </c>
      <c r="I4" s="1">
        <v>49</v>
      </c>
      <c r="J4" s="1">
        <f t="shared" ref="J4:J16" si="2">SUM(G4:I4)</f>
        <v>157</v>
      </c>
      <c r="K4" s="2">
        <f>AVERAGE(G4:I4)</f>
        <v>52.333333333333336</v>
      </c>
      <c r="L4" s="1" t="str">
        <f t="shared" si="1"/>
        <v>PASS</v>
      </c>
      <c r="M4" s="1"/>
      <c r="N4" s="1"/>
      <c r="O4" s="1"/>
      <c r="P4" s="1"/>
      <c r="Q4" s="1"/>
    </row>
    <row r="5" spans="1:17" x14ac:dyDescent="0.3">
      <c r="A5" s="1" t="s">
        <v>4</v>
      </c>
      <c r="B5" s="1" t="s">
        <v>30</v>
      </c>
      <c r="C5" s="1" t="s">
        <v>21</v>
      </c>
      <c r="D5" s="1">
        <v>9</v>
      </c>
      <c r="E5" s="1">
        <v>4</v>
      </c>
      <c r="F5" s="1" t="s">
        <v>49</v>
      </c>
      <c r="G5" s="1">
        <v>32</v>
      </c>
      <c r="H5" s="1">
        <v>51</v>
      </c>
      <c r="I5" s="1">
        <v>52</v>
      </c>
      <c r="J5" s="1">
        <f t="shared" si="2"/>
        <v>135</v>
      </c>
      <c r="K5" s="2">
        <f t="shared" si="0"/>
        <v>45</v>
      </c>
      <c r="L5" s="1" t="str">
        <f>IF(AND(G5&gt;=40,H5&gt;=40,I5&gt;=40),"PASS","FAIL")</f>
        <v>FAIL</v>
      </c>
      <c r="M5" s="1"/>
      <c r="N5" s="1"/>
      <c r="O5" s="1"/>
      <c r="P5" s="1"/>
      <c r="Q5" s="1"/>
    </row>
    <row r="6" spans="1:17" x14ac:dyDescent="0.3">
      <c r="A6" s="1" t="s">
        <v>5</v>
      </c>
      <c r="B6" s="1" t="s">
        <v>31</v>
      </c>
      <c r="C6" s="1" t="s">
        <v>22</v>
      </c>
      <c r="D6" s="1">
        <v>9</v>
      </c>
      <c r="E6" s="1">
        <v>5</v>
      </c>
      <c r="F6" s="1" t="s">
        <v>50</v>
      </c>
      <c r="G6" s="1">
        <v>63</v>
      </c>
      <c r="H6" s="1">
        <v>53</v>
      </c>
      <c r="I6" s="1">
        <v>55</v>
      </c>
      <c r="J6" s="1">
        <f t="shared" si="2"/>
        <v>171</v>
      </c>
      <c r="K6" s="2">
        <f t="shared" si="0"/>
        <v>57</v>
      </c>
      <c r="L6" s="1" t="str">
        <f t="shared" si="1"/>
        <v>PASS</v>
      </c>
      <c r="M6" s="1"/>
      <c r="N6" s="1"/>
      <c r="O6" s="1"/>
      <c r="P6" s="1"/>
      <c r="Q6" s="1"/>
    </row>
    <row r="7" spans="1:17" x14ac:dyDescent="0.3">
      <c r="A7" s="1" t="s">
        <v>6</v>
      </c>
      <c r="B7" s="1" t="s">
        <v>32</v>
      </c>
      <c r="C7" s="1" t="s">
        <v>23</v>
      </c>
      <c r="D7" s="1">
        <v>9</v>
      </c>
      <c r="E7" s="1">
        <v>6</v>
      </c>
      <c r="F7" s="1" t="s">
        <v>51</v>
      </c>
      <c r="G7" s="1">
        <v>65</v>
      </c>
      <c r="H7" s="1">
        <v>55</v>
      </c>
      <c r="I7" s="1">
        <v>22</v>
      </c>
      <c r="J7" s="1">
        <f t="shared" si="2"/>
        <v>142</v>
      </c>
      <c r="K7" s="2">
        <f t="shared" si="0"/>
        <v>47.333333333333336</v>
      </c>
      <c r="L7" s="1" t="str">
        <f t="shared" si="1"/>
        <v>FAIL</v>
      </c>
      <c r="M7" s="1"/>
      <c r="N7" s="1"/>
      <c r="O7" s="1"/>
      <c r="P7" s="1"/>
      <c r="Q7" s="1"/>
    </row>
    <row r="8" spans="1:17" x14ac:dyDescent="0.3">
      <c r="A8" s="1" t="s">
        <v>7</v>
      </c>
      <c r="B8" s="1" t="s">
        <v>17</v>
      </c>
      <c r="C8" s="1" t="s">
        <v>24</v>
      </c>
      <c r="D8" s="1">
        <v>9</v>
      </c>
      <c r="E8" s="1">
        <v>7</v>
      </c>
      <c r="F8" s="1" t="s">
        <v>45</v>
      </c>
      <c r="G8" s="1">
        <v>67</v>
      </c>
      <c r="H8" s="1">
        <v>33</v>
      </c>
      <c r="I8" s="1">
        <v>61</v>
      </c>
      <c r="J8" s="1">
        <f t="shared" si="2"/>
        <v>161</v>
      </c>
      <c r="K8" s="2">
        <f t="shared" si="0"/>
        <v>53.666666666666664</v>
      </c>
      <c r="L8" s="1" t="str">
        <f t="shared" si="1"/>
        <v>FAIL</v>
      </c>
      <c r="M8" s="1"/>
      <c r="N8" s="1"/>
      <c r="O8" s="1"/>
      <c r="P8" s="1"/>
      <c r="Q8" s="1"/>
    </row>
    <row r="9" spans="1:17" x14ac:dyDescent="0.3">
      <c r="A9" s="1" t="s">
        <v>8</v>
      </c>
      <c r="B9" s="1" t="s">
        <v>33</v>
      </c>
      <c r="C9" s="1" t="s">
        <v>21</v>
      </c>
      <c r="D9" s="1">
        <v>9</v>
      </c>
      <c r="E9" s="1">
        <v>8</v>
      </c>
      <c r="F9" s="1" t="s">
        <v>52</v>
      </c>
      <c r="G9" s="1">
        <v>69</v>
      </c>
      <c r="H9" s="1">
        <v>59</v>
      </c>
      <c r="I9" s="1">
        <v>64</v>
      </c>
      <c r="J9" s="1">
        <f t="shared" si="2"/>
        <v>192</v>
      </c>
      <c r="K9" s="2">
        <f t="shared" si="0"/>
        <v>64</v>
      </c>
      <c r="L9" s="1" t="str">
        <f>IF(AND(G9&gt;=40,H9&gt;=40,I9&gt;=40),"PASS","FAIL")</f>
        <v>PASS</v>
      </c>
      <c r="M9" s="1"/>
      <c r="N9" s="1"/>
      <c r="O9" s="1"/>
      <c r="P9" s="1"/>
      <c r="Q9" s="1"/>
    </row>
    <row r="10" spans="1:17" x14ac:dyDescent="0.3">
      <c r="A10" s="1" t="s">
        <v>9</v>
      </c>
      <c r="B10" s="1" t="s">
        <v>34</v>
      </c>
      <c r="C10" s="1" t="s">
        <v>21</v>
      </c>
      <c r="D10" s="1">
        <v>9</v>
      </c>
      <c r="E10" s="1">
        <v>9</v>
      </c>
      <c r="F10" s="1" t="s">
        <v>53</v>
      </c>
      <c r="G10" s="1">
        <v>29</v>
      </c>
      <c r="H10" s="1">
        <v>61</v>
      </c>
      <c r="I10" s="1">
        <v>67</v>
      </c>
      <c r="J10" s="1">
        <f t="shared" si="2"/>
        <v>157</v>
      </c>
      <c r="K10" s="2">
        <f t="shared" si="0"/>
        <v>52.333333333333336</v>
      </c>
      <c r="L10" s="1" t="str">
        <f t="shared" si="1"/>
        <v>FAIL</v>
      </c>
      <c r="M10" s="1"/>
      <c r="N10" s="1"/>
      <c r="O10" s="1"/>
      <c r="P10" s="1"/>
      <c r="Q10" s="1"/>
    </row>
    <row r="11" spans="1:17" x14ac:dyDescent="0.3">
      <c r="A11" s="1" t="s">
        <v>10</v>
      </c>
      <c r="B11" s="1" t="s">
        <v>35</v>
      </c>
      <c r="C11" s="1" t="s">
        <v>21</v>
      </c>
      <c r="D11" s="1">
        <v>9</v>
      </c>
      <c r="E11" s="1">
        <v>10</v>
      </c>
      <c r="F11" s="1" t="s">
        <v>54</v>
      </c>
      <c r="G11" s="1">
        <v>38</v>
      </c>
      <c r="H11" s="1">
        <v>63</v>
      </c>
      <c r="I11" s="1">
        <v>70</v>
      </c>
      <c r="J11" s="1">
        <f t="shared" si="2"/>
        <v>171</v>
      </c>
      <c r="K11" s="2">
        <f t="shared" si="0"/>
        <v>57</v>
      </c>
      <c r="L11" s="1" t="str">
        <f>IF(AND(G11&gt;=40,H11&gt;=40,I11&gt;=40),"PASS","FAIL")</f>
        <v>FAIL</v>
      </c>
      <c r="M11" s="1"/>
      <c r="N11" s="1"/>
      <c r="O11" s="1"/>
      <c r="P11" s="1"/>
      <c r="Q11" s="1"/>
    </row>
    <row r="12" spans="1:17" x14ac:dyDescent="0.3">
      <c r="A12" s="1" t="s">
        <v>11</v>
      </c>
      <c r="B12" s="1" t="s">
        <v>36</v>
      </c>
      <c r="C12" s="1" t="s">
        <v>25</v>
      </c>
      <c r="D12" s="1">
        <v>9</v>
      </c>
      <c r="E12" s="1">
        <v>11</v>
      </c>
      <c r="F12" s="1" t="s">
        <v>55</v>
      </c>
      <c r="G12" s="1">
        <v>75</v>
      </c>
      <c r="H12" s="1">
        <v>65</v>
      </c>
      <c r="I12" s="1">
        <v>73</v>
      </c>
      <c r="J12" s="1">
        <f t="shared" si="2"/>
        <v>213</v>
      </c>
      <c r="K12" s="2">
        <f t="shared" si="0"/>
        <v>71</v>
      </c>
      <c r="L12" s="1" t="str">
        <f>IF(AND(G12&gt;=40,H12&gt;=40,I12&gt;=40),"PASS","FAIL")</f>
        <v>PASS</v>
      </c>
      <c r="M12" s="1"/>
      <c r="N12" s="1"/>
      <c r="O12" s="1"/>
      <c r="P12" s="1"/>
      <c r="Q12" s="1"/>
    </row>
    <row r="13" spans="1:17" x14ac:dyDescent="0.3">
      <c r="A13" s="1" t="s">
        <v>12</v>
      </c>
      <c r="B13" s="1" t="s">
        <v>37</v>
      </c>
      <c r="C13" s="1" t="s">
        <v>24</v>
      </c>
      <c r="D13" s="1">
        <v>9</v>
      </c>
      <c r="E13" s="1">
        <v>12</v>
      </c>
      <c r="F13" s="1" t="s">
        <v>56</v>
      </c>
      <c r="G13" s="1">
        <v>77</v>
      </c>
      <c r="H13" s="1">
        <v>67</v>
      </c>
      <c r="I13" s="1">
        <v>76</v>
      </c>
      <c r="J13" s="1">
        <f t="shared" si="2"/>
        <v>220</v>
      </c>
      <c r="K13" s="2">
        <f t="shared" si="0"/>
        <v>73.333333333333329</v>
      </c>
      <c r="L13" s="1" t="str">
        <f t="shared" si="1"/>
        <v>PASS</v>
      </c>
      <c r="M13" s="1"/>
      <c r="N13" s="1"/>
      <c r="O13" s="1"/>
      <c r="P13" s="1"/>
      <c r="Q13" s="1"/>
    </row>
    <row r="14" spans="1:17" x14ac:dyDescent="0.3">
      <c r="A14" s="1" t="s">
        <v>13</v>
      </c>
      <c r="B14" s="1" t="s">
        <v>38</v>
      </c>
      <c r="C14" s="1" t="s">
        <v>26</v>
      </c>
      <c r="D14" s="1">
        <v>9</v>
      </c>
      <c r="E14" s="1">
        <v>13</v>
      </c>
      <c r="F14" s="1" t="s">
        <v>57</v>
      </c>
      <c r="G14" s="1">
        <v>79</v>
      </c>
      <c r="H14" s="1">
        <v>69</v>
      </c>
      <c r="I14" s="1">
        <v>79</v>
      </c>
      <c r="J14" s="1">
        <f t="shared" si="2"/>
        <v>227</v>
      </c>
      <c r="K14" s="2">
        <f t="shared" si="0"/>
        <v>75.666666666666671</v>
      </c>
      <c r="L14" s="1" t="str">
        <f t="shared" si="1"/>
        <v>PASS</v>
      </c>
      <c r="M14" s="1"/>
      <c r="N14" s="1"/>
      <c r="O14" s="1"/>
      <c r="P14" s="1"/>
      <c r="Q14" s="1"/>
    </row>
    <row r="15" spans="1:17" x14ac:dyDescent="0.3">
      <c r="A15" s="1" t="s">
        <v>14</v>
      </c>
      <c r="B15" s="1" t="s">
        <v>39</v>
      </c>
      <c r="C15" s="1" t="s">
        <v>27</v>
      </c>
      <c r="D15" s="1">
        <v>9</v>
      </c>
      <c r="E15" s="1">
        <v>14</v>
      </c>
      <c r="F15" s="1" t="s">
        <v>58</v>
      </c>
      <c r="G15" s="1">
        <v>81</v>
      </c>
      <c r="H15" s="1">
        <v>31</v>
      </c>
      <c r="I15" s="1">
        <v>82</v>
      </c>
      <c r="J15" s="1">
        <f t="shared" si="2"/>
        <v>194</v>
      </c>
      <c r="K15" s="2">
        <f t="shared" si="0"/>
        <v>64.666666666666671</v>
      </c>
      <c r="L15" s="1" t="str">
        <f t="shared" si="1"/>
        <v>FAIL</v>
      </c>
      <c r="M15" s="1"/>
      <c r="N15" s="1"/>
      <c r="O15" s="1"/>
      <c r="P15" s="1"/>
      <c r="Q15" s="1"/>
    </row>
    <row r="16" spans="1:17" x14ac:dyDescent="0.3">
      <c r="A16" s="1" t="s">
        <v>41</v>
      </c>
      <c r="B16" s="1" t="s">
        <v>42</v>
      </c>
      <c r="C16" s="1" t="s">
        <v>43</v>
      </c>
      <c r="D16" s="1">
        <v>9</v>
      </c>
      <c r="E16" s="1">
        <v>15</v>
      </c>
      <c r="F16" s="1" t="s">
        <v>59</v>
      </c>
      <c r="G16" s="1">
        <v>83</v>
      </c>
      <c r="H16" s="1">
        <v>38</v>
      </c>
      <c r="I16" s="1">
        <v>85</v>
      </c>
      <c r="J16" s="1">
        <f t="shared" si="2"/>
        <v>206</v>
      </c>
      <c r="K16" s="2">
        <f t="shared" si="0"/>
        <v>68.666666666666671</v>
      </c>
      <c r="L16" s="1" t="str">
        <f>IF(AND(G16&gt;=40,H16&gt;=40,I16&gt;=40),"PASS","FAIL")</f>
        <v>FAIL</v>
      </c>
      <c r="M16" s="1"/>
      <c r="N16" s="1"/>
      <c r="O16" s="1"/>
      <c r="P16" s="4"/>
      <c r="Q16" s="4"/>
    </row>
  </sheetData>
  <conditionalFormatting sqref="L2:L16">
    <cfRule type="containsText" dxfId="93" priority="1" operator="containsText" text="PASS">
      <formula>NOT(ISERROR(SEARCH("PASS",L2)))</formula>
    </cfRule>
    <cfRule type="containsText" dxfId="94" priority="2" operator="containsText" text="FAIL">
      <formula>NOT(ISERROR(SEARCH("FAIL",L2)))</formula>
    </cfRule>
    <cfRule type="top10" dxfId="95" priority="3" rank="1"/>
    <cfRule type="cellIs" dxfId="96" priority="12" operator="lessThan">
      <formula>40</formula>
    </cfRule>
    <cfRule type="cellIs" dxfId="97" priority="13" operator="lessThan">
      <formula>40</formula>
    </cfRule>
  </conditionalFormatting>
  <conditionalFormatting sqref="I2:I16">
    <cfRule type="cellIs" dxfId="91" priority="7" operator="greaterThan">
      <formula>53.5</formula>
    </cfRule>
    <cfRule type="cellIs" dxfId="92" priority="11" operator="lessThan">
      <formula>53.5</formula>
    </cfRule>
  </conditionalFormatting>
  <conditionalFormatting sqref="H2:H16">
    <cfRule type="cellIs" dxfId="87" priority="5" operator="greaterThan">
      <formula>53.5</formula>
    </cfRule>
    <cfRule type="cellIs" dxfId="88" priority="6" operator="greaterThan">
      <formula>53.5</formula>
    </cfRule>
    <cfRule type="cellIs" dxfId="89" priority="8" operator="lessThan">
      <formula>40</formula>
    </cfRule>
    <cfRule type="cellIs" dxfId="90" priority="10" operator="lessThan">
      <formula>50</formula>
    </cfRule>
  </conditionalFormatting>
  <conditionalFormatting sqref="G2:G16">
    <cfRule type="cellIs" dxfId="85" priority="4" operator="greaterThan">
      <formula>53.5</formula>
    </cfRule>
    <cfRule type="cellIs" dxfId="86" priority="9" operator="lessThan">
      <formula>49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C51A-43D7-4026-9A81-7A0C6187CCDF}">
  <dimension ref="A1"/>
  <sheetViews>
    <sheetView tabSelected="1" workbookViewId="0">
      <selection activeCell="Q13" sqref="Q1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DATA</vt:lpstr>
      <vt:lpstr>MARKS ANALYSIS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2025-12-27T14:08:38Z</dcterms:created>
  <dcterms:modified xsi:type="dcterms:W3CDTF">2025-12-27T18:21:02Z</dcterms:modified>
</cp:coreProperties>
</file>