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24ce2c12d9616f/"/>
    </mc:Choice>
  </mc:AlternateContent>
  <xr:revisionPtr revIDLastSave="192" documentId="8_{5D1E55E6-41AE-4E59-AB99-23B9AD489A4D}" xr6:coauthVersionLast="47" xr6:coauthVersionMax="47" xr10:uidLastSave="{0FABC52C-A17A-4617-B9F9-DBFE84AFDB29}"/>
  <bookViews>
    <workbookView xWindow="-108" yWindow="-108" windowWidth="23256" windowHeight="12576" xr2:uid="{93F4E737-5FFD-4057-8C2D-B7D773D06D18}"/>
  </bookViews>
  <sheets>
    <sheet name="Store_sales" sheetId="1" r:id="rId1"/>
    <sheet name="char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<sst xmlns="http://schemas.openxmlformats.org/spreadsheetml/2006/main" count="45" uniqueCount="32">
  <si>
    <t>STORE_SALES SHEET</t>
  </si>
  <si>
    <t>DATE</t>
  </si>
  <si>
    <t>PRODUCT</t>
  </si>
  <si>
    <t>CATEGORY</t>
  </si>
  <si>
    <t>TOTAL SALE</t>
  </si>
  <si>
    <t>PEN</t>
  </si>
  <si>
    <t>NOTEBOOK</t>
  </si>
  <si>
    <t>FILES</t>
  </si>
  <si>
    <t>MOUSE</t>
  </si>
  <si>
    <t>KEYBOARD</t>
  </si>
  <si>
    <t>PENCIL</t>
  </si>
  <si>
    <t>SOFA</t>
  </si>
  <si>
    <t>STATIONERY</t>
  </si>
  <si>
    <t>OFFICE</t>
  </si>
  <si>
    <t>ELECTRONICS</t>
  </si>
  <si>
    <t>FURNITURE</t>
  </si>
  <si>
    <t>BED</t>
  </si>
  <si>
    <t>SALES PERSON</t>
  </si>
  <si>
    <t>SALES AMOUNT</t>
  </si>
  <si>
    <t>SHIVAM</t>
  </si>
  <si>
    <t>RAJU</t>
  </si>
  <si>
    <t>RAJA</t>
  </si>
  <si>
    <t>SUMIT</t>
  </si>
  <si>
    <t>AMIT</t>
  </si>
  <si>
    <t>ADITYA</t>
  </si>
  <si>
    <t>NITISH</t>
  </si>
  <si>
    <t>SATYAM</t>
  </si>
  <si>
    <t>EXTRACT TEXT USING LEFT &amp; RIGHT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</si>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</sst>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Store_sales!$A$3</c:f>
              <c:strCache>
                <c:ptCount val="1"/>
                <c:pt idx="0">
                  <c:v>DATE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Store_sales!$A$4:$A$11</c:f>
              <c:numCache>
                <c:formatCode>m/d/yyyy</c:formatCode>
                <c:ptCount val="8"/>
                <c:pt idx="0">
                  <c:v>46215</c:v>
                </c:pt>
                <c:pt idx="1">
                  <c:v>46182</c:v>
                </c:pt>
                <c:pt idx="2">
                  <c:v>46152</c:v>
                </c:pt>
                <c:pt idx="3">
                  <c:v>46116</c:v>
                </c:pt>
                <c:pt idx="4">
                  <c:v>46085</c:v>
                </c:pt>
                <c:pt idx="5">
                  <c:v>46060</c:v>
                </c:pt>
                <c:pt idx="6">
                  <c:v>46055</c:v>
                </c:pt>
                <c:pt idx="7">
                  <c:v>46023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4-436F-AA9B-49741338BA67}"/>
            </c:ext>
          </c:extLst>
        </c:ser>
        <c:ser>
          <c:idx val="1"/>
          <c:order val="1"/>
          <c:tx>
            <c:strRef>
              <c:f>Store_sales!$E$4</c:f>
              <c:strCache>
                <c:ptCount val="1"/>
                <c:pt idx="0">
                  <c:v>300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Store_sales!$E$5:$E$11</c:f>
              <c:numCache>
                <c:formatCode>General</c:formatCode>
                <c:ptCount val="7"/>
                <c:pt idx="0">
                  <c:v>650</c:v>
                </c:pt>
                <c:pt idx="1">
                  <c:v>1000</c:v>
                </c:pt>
                <c:pt idx="2">
                  <c:v>1350</c:v>
                </c:pt>
                <c:pt idx="3">
                  <c:v>1700</c:v>
                </c:pt>
                <c:pt idx="4">
                  <c:v>2050</c:v>
                </c:pt>
                <c:pt idx="5">
                  <c:v>2400</c:v>
                </c:pt>
                <c:pt idx="6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4-436F-AA9B-49741338B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076735"/>
        <c:axId val="769073855"/>
      </c:barChart>
      <c:catAx>
        <c:axId val="769076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73855"/>
        <c:crosses val="autoZero"/>
        <c:auto val="1"/>
        <c:lblAlgn val="ctr"/>
        <c:lblOffset val="100"/>
        <c:noMultiLvlLbl val="0"/>
      </c:catAx>
      <c:valAx>
        <c:axId val="7690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7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121920</xdr:rowOff>
    </xdr:from>
    <xdr:to>
      <xdr:col>8</xdr:col>
      <xdr:colOff>487680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624C5-DEF7-4C9A-8901-E2573EEEC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E481-B6B4-4B87-A4E8-DBC1A5A1C9EA}">
  <dimension ref="A1:I11"/>
  <sheetViews>
    <sheetView tabSelected="1" workbookViewId="0">
      <selection activeCell="E18" sqref="E18"/>
    </sheetView>
  </sheetViews>
  <sheetFormatPr defaultRowHeight="14.4" x14ac:dyDescent="0.3"/>
  <cols>
    <col min="1" max="1" width="14.6640625" customWidth="1"/>
    <col min="2" max="2" width="12.109375" customWidth="1"/>
    <col min="3" max="3" width="12.6640625" customWidth="1"/>
    <col min="4" max="4" width="17.6640625" customWidth="1"/>
    <col min="5" max="5" width="17.44140625" customWidth="1"/>
    <col min="6" max="6" width="15" customWidth="1"/>
    <col min="8" max="8" width="5.44140625" customWidth="1"/>
    <col min="9" max="9" width="36.44140625" customWidth="1"/>
  </cols>
  <sheetData>
    <row r="1" spans="1:9" ht="14.4" customHeight="1" x14ac:dyDescent="0.3">
      <c r="A1" s="1" t="s">
        <v>0</v>
      </c>
      <c r="B1" s="1"/>
      <c r="C1" s="1"/>
      <c r="D1" s="1"/>
      <c r="E1" s="1"/>
      <c r="F1" s="1"/>
      <c r="G1" s="3"/>
      <c r="H1" s="3"/>
    </row>
    <row r="2" spans="1:9" x14ac:dyDescent="0.3">
      <c r="A2" s="1"/>
      <c r="B2" s="1"/>
      <c r="C2" s="1"/>
      <c r="D2" s="1"/>
      <c r="E2" s="1"/>
      <c r="F2" s="1"/>
      <c r="G2" s="3"/>
      <c r="H2" s="3"/>
    </row>
    <row r="3" spans="1:9" ht="20.399999999999999" customHeight="1" x14ac:dyDescent="0.35">
      <c r="A3" s="5" t="s">
        <v>1</v>
      </c>
      <c r="B3" s="5" t="s">
        <v>2</v>
      </c>
      <c r="C3" s="5" t="s">
        <v>3</v>
      </c>
      <c r="D3" s="5" t="s">
        <v>17</v>
      </c>
      <c r="E3" s="5" t="s">
        <v>18</v>
      </c>
      <c r="F3" s="5" t="s">
        <v>4</v>
      </c>
      <c r="I3" s="9" t="s">
        <v>27</v>
      </c>
    </row>
    <row r="4" spans="1:9" ht="22.8" customHeight="1" x14ac:dyDescent="0.3">
      <c r="A4" s="7">
        <v>46215</v>
      </c>
      <c r="B4" s="8" t="s">
        <v>16</v>
      </c>
      <c r="C4" s="8" t="s">
        <v>14</v>
      </c>
      <c r="D4" s="6" t="s">
        <v>19</v>
      </c>
      <c r="E4" s="2">
        <v>300</v>
      </c>
      <c r="F4" s="4">
        <f>SUMIF(C2:C10,"ELECTRONICS",E2:E10)</f>
        <v>950</v>
      </c>
      <c r="I4" t="str">
        <f>LEFT(B4,3)</f>
        <v>BED</v>
      </c>
    </row>
    <row r="5" spans="1:9" ht="21" customHeight="1" x14ac:dyDescent="0.3">
      <c r="A5" s="7">
        <v>46182</v>
      </c>
      <c r="B5" s="8" t="s">
        <v>7</v>
      </c>
      <c r="C5" s="8" t="s">
        <v>14</v>
      </c>
      <c r="D5" s="6" t="s">
        <v>20</v>
      </c>
      <c r="E5" s="2">
        <v>650</v>
      </c>
      <c r="F5" s="4">
        <f>SUMIF(C5:C10,"ELECTRONICS",E5:E10)</f>
        <v>650</v>
      </c>
      <c r="I5" t="str">
        <f>RIGHT(B10,2)</f>
        <v>IL</v>
      </c>
    </row>
    <row r="6" spans="1:9" ht="23.4" customHeight="1" x14ac:dyDescent="0.3">
      <c r="A6" s="7">
        <v>46152</v>
      </c>
      <c r="B6" s="8" t="s">
        <v>9</v>
      </c>
      <c r="C6" s="8" t="s">
        <v>15</v>
      </c>
      <c r="D6" s="6" t="s">
        <v>21</v>
      </c>
      <c r="E6" s="2">
        <v>1000</v>
      </c>
      <c r="F6" s="4">
        <f>SUMIF(C2:C10,"FURNITURE",E2:E10)</f>
        <v>2350</v>
      </c>
    </row>
    <row r="7" spans="1:9" ht="22.8" customHeight="1" x14ac:dyDescent="0.3">
      <c r="A7" s="7">
        <v>46116</v>
      </c>
      <c r="B7" s="8" t="s">
        <v>8</v>
      </c>
      <c r="C7" s="8" t="s">
        <v>15</v>
      </c>
      <c r="D7" s="6" t="s">
        <v>22</v>
      </c>
      <c r="E7" s="2">
        <v>1350</v>
      </c>
      <c r="F7" s="4">
        <f>SUMIF(C2:C10,"FURNITURE",E2:E10)</f>
        <v>2350</v>
      </c>
    </row>
    <row r="8" spans="1:9" ht="25.8" customHeight="1" x14ac:dyDescent="0.3">
      <c r="A8" s="7">
        <v>46085</v>
      </c>
      <c r="B8" s="8" t="s">
        <v>6</v>
      </c>
      <c r="C8" s="8" t="s">
        <v>13</v>
      </c>
      <c r="D8" s="6" t="s">
        <v>23</v>
      </c>
      <c r="E8" s="2">
        <v>1700</v>
      </c>
      <c r="F8" s="4">
        <f>SUMIF(C2:C10,"OFFICE",E2:E10)</f>
        <v>1700</v>
      </c>
    </row>
    <row r="9" spans="1:9" ht="25.8" customHeight="1" x14ac:dyDescent="0.3">
      <c r="A9" s="7">
        <v>46060</v>
      </c>
      <c r="B9" s="8" t="s">
        <v>5</v>
      </c>
      <c r="C9" s="8" t="s">
        <v>12</v>
      </c>
      <c r="D9" s="6" t="s">
        <v>24</v>
      </c>
      <c r="E9" s="2">
        <v>2050</v>
      </c>
      <c r="F9" s="4">
        <f>SUMIF(C2:C10,"STATIONERY",E2:E10)</f>
        <v>4450</v>
      </c>
    </row>
    <row r="10" spans="1:9" ht="19.2" customHeight="1" x14ac:dyDescent="0.3">
      <c r="A10" s="7">
        <v>46055</v>
      </c>
      <c r="B10" s="8" t="s">
        <v>10</v>
      </c>
      <c r="C10" s="8" t="s">
        <v>12</v>
      </c>
      <c r="D10" s="6" t="s">
        <v>25</v>
      </c>
      <c r="E10" s="2">
        <v>2400</v>
      </c>
      <c r="F10" s="4">
        <f>SUMIF(C2:C10,"Stationery",E2:E10)</f>
        <v>4450</v>
      </c>
    </row>
    <row r="11" spans="1:9" ht="22.8" customHeight="1" x14ac:dyDescent="0.3">
      <c r="A11" s="7">
        <v>46023</v>
      </c>
      <c r="B11" s="8" t="s">
        <v>11</v>
      </c>
      <c r="C11" s="8" t="s">
        <v>12</v>
      </c>
      <c r="D11" s="6" t="s">
        <v>26</v>
      </c>
      <c r="E11" s="2">
        <v>2750</v>
      </c>
      <c r="F11" s="4">
        <f>SUMIF(C2:C10,"Stationery",E2:E10)</f>
        <v>4450</v>
      </c>
    </row>
  </sheetData>
  <sortState xmlns:xlrd2="http://schemas.microsoft.com/office/spreadsheetml/2017/richdata2" ref="A4:A11">
    <sortCondition descending="1" ref="A3:A11"/>
  </sortState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40D6-9675-4685-985B-0E39D08F7741}">
  <dimension ref="A1"/>
  <sheetViews>
    <sheetView workbookViewId="0">
      <selection activeCell="M11" sqref="M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Store_sales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2025-12-31T11:56:25Z</dcterms:created>
  <dcterms:modified xsi:type="dcterms:W3CDTF">2026-01-02T20:00:45Z</dcterms:modified>
</cp:coreProperties>
</file>